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6c3c95877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与说明" sheetId="1" r:id="R54fe43aa007840c2"/>
    <x:sheet xmlns:r="http://schemas.openxmlformats.org/officeDocument/2006/relationships" name="核心Case矩阵" sheetId="2" r:id="R5e3e4cb459864d43"/>
    <x:sheet xmlns:r="http://schemas.openxmlformats.org/officeDocument/2006/relationships" name="简化Case清单" sheetId="3" r:id="R71629de1cb214936"/>
    <x:sheet xmlns:r="http://schemas.openxmlformats.org/officeDocument/2006/relationships" name="可选Case清单" sheetId="4" r:id="R0e68ee967dd84ad1"/>
    <x:sheet xmlns:r="http://schemas.openxmlformats.org/officeDocument/2006/relationships" name="配置基线" sheetId="5" r:id="R7b390acfb0fc4391"/>
    <x:sheet xmlns:r="http://schemas.openxmlformats.org/officeDocument/2006/relationships" name="执行方式边界" sheetId="6" r:id="Rf8c8203556de4a4e"/>
    <x:sheet xmlns:r="http://schemas.openxmlformats.org/officeDocument/2006/relationships" name="监控与判定" sheetId="7" r:id="R91ff6df39d4f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11"/>
      <x:color rgb="FF1F2937"/>
      <x:name val="Carlito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  <x:font>
      <x:sz val="11"/>
      <x:color rgb="FF1F2937"/>
      <x:name val="Aptos"/>
    </x:font>
    <x:font>
      <x:b/>
      <x:sz val="9"/>
      <x:color rgb="FF1F4E78"/>
      <x:name val="Carlito"/>
    </x:font>
    <x:font>
      <x:b/>
      <x:sz val="9"/>
      <x:color rgb="FF1F4E7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horizontal="center"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14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15" fillId="0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left" vertical="top"/>
    </x:xf>
    <x:xf numFmtId="0" fontId="9" fillId="0" borderId="0" xfId="0" applyNumberFormat="1" applyFont="1" applyFill="1" applyBorder="1" applyAlignment="1">
      <x:alignment vertical="top"/>
    </x:xf>
    <x:xf numFmtId="0" fontId="10" fillId="4" borderId="1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244002ec442d1" /><Relationship Type="http://schemas.openxmlformats.org/officeDocument/2006/relationships/theme" Target="/xl/theme/theme1.xml" Id="R898159120d664244" /><Relationship Type="http://schemas.openxmlformats.org/officeDocument/2006/relationships/sharedStrings" Target="/xl/sharedStrings.xml" Id="R08869ee6133940d7" /><Relationship Type="http://schemas.openxmlformats.org/officeDocument/2006/relationships/worksheet" Target="/xl/worksheets/sheet1.xml" Id="R54fe43aa007840c2" /><Relationship Type="http://schemas.openxmlformats.org/officeDocument/2006/relationships/worksheet" Target="/xl/worksheets/sheet2.xml" Id="R5e3e4cb459864d43" /><Relationship Type="http://schemas.openxmlformats.org/officeDocument/2006/relationships/worksheet" Target="/xl/worksheets/sheet3.xml" Id="R71629de1cb214936" /><Relationship Type="http://schemas.openxmlformats.org/officeDocument/2006/relationships/worksheet" Target="/xl/worksheets/sheet4.xml" Id="R0e68ee967dd84ad1" /><Relationship Type="http://schemas.openxmlformats.org/officeDocument/2006/relationships/worksheet" Target="/xl/worksheets/sheet5.xml" Id="R7b390acfb0fc4391" /><Relationship Type="http://schemas.openxmlformats.org/officeDocument/2006/relationships/worksheet" Target="/xl/worksheets/sheet6.xml" Id="Rf8c8203556de4a4e" /><Relationship Type="http://schemas.openxmlformats.org/officeDocument/2006/relationships/worksheet" Target="/xl/worksheets/sheet7.xml" Id="R91ff6df39d4f4c82" /></Relationships>
</file>

<file path=xl/tables/table1.xml><?xml version="1.0" encoding="utf-8"?>
<x:table xmlns:x="http://schemas.openxmlformats.org/spreadsheetml/2006/main" id="1" name="CoreCases" displayName="CoreCases" ref="A5:W34" headerRowCount="1" totalsRowCount="0" totalsRowShown="0">
  <x:autoFilter ref="A5:W34"/>
  <x:tableColumns count="23">
    <x:tableColumn id="1" name="Case ID"/>
    <x:tableColumn id="2" name="测试工具"/>
    <x:tableColumn id="3" name="测试目的"/>
    <x:tableColumn id="4" name="测试步骤"/>
    <x:tableColumn id="5" name="测试时长"/>
    <x:tableColumn id="6" name="测试脚本"/>
    <x:tableColumn id="7" name="测试标准"/>
    <x:tableColumn id="8" name="阶段"/>
    <x:tableColumn id="9" name="优先级"/>
    <x:tableColumn id="10" name="测试家族"/>
    <x:tableColumn id="11" name="推荐配置档位"/>
    <x:tableColumn id="12" name="SSD容量"/>
    <x:tableColumn id="13" name="内存+显存"/>
    <x:tableColumn id="14" name="执行模式"/>
    <x:tableColumn id="15" name="模型/工作负载"/>
    <x:tableColumn id="16" name="监控项"/>
    <x:tableColumn id="17" name="主要指标"/>
    <x:tableColumn id="18" name="无效条件"/>
    <x:tableColumn id="19" name="配置选择理由"/>
    <x:tableColumn id="20" name="预期输出"/>
    <x:tableColumn id="21" name="Windows状态"/>
    <x:tableColumn id="22" name="结果"/>
    <x:tableColumn id="2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Cases" displayName="SimpleCases" ref="A5:L34" headerRowCount="1" totalsRowCount="0" totalsRowShown="0">
  <x:autoFilter ref="A5:L34"/>
  <x:tableColumns count="12">
    <x:tableColumn id="1" name="Case ID"/>
    <x:tableColumn id="2" name="测试工具"/>
    <x:tableColumn id="3" name="测试目的"/>
    <x:tableColumn id="4" name="测试步骤"/>
    <x:tableColumn id="5" name="测试时长"/>
    <x:tableColumn id="6" name="测试脚本"/>
    <x:tableColumn id="7" name="测试标准"/>
    <x:tableColumn id="8" name="阶段"/>
    <x:tableColumn id="9" name="执行模式"/>
    <x:tableColumn id="10" name="推荐配置"/>
    <x:tableColumn id="11" name="是否首轮"/>
    <x:tableColumn id="12" name="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onalCases" displayName="OptionalCases" ref="A5:M13" headerRowCount="1" totalsRowCount="0" totalsRowShown="0">
  <x:autoFilter ref="A5:M13"/>
  <x:tableColumns count="13">
    <x:tableColumn id="1" name="Case ID"/>
    <x:tableColumn id="2" name="适用档位"/>
    <x:tableColumn id="3" name="家族"/>
    <x:tableColumn id="4" name="执行模式"/>
    <x:tableColumn id="5" name="模型/工作负载"/>
    <x:tableColumn id="6" name="测试目的"/>
    <x:tableColumn id="7" name="关键步骤"/>
    <x:tableColumn id="8" name="建议时长"/>
    <x:tableColumn id="9" name="工具/脚本"/>
    <x:tableColumn id="10" name="监控与指标"/>
    <x:tableColumn id="11" name="测试标准"/>
    <x:tableColumn id="12" name="为何为可选"/>
    <x:tableColumn id="13" name="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igBaseline" displayName="ConfigBaseline" ref="A5:F17" headerRowCount="1" totalsRowCount="0" totalsRowShown="0">
  <x:autoFilter ref="A5:F17"/>
  <x:tableColumns count="6">
    <x:tableColumn id="1" name="类别"/>
    <x:tableColumn id="2" name="配置项"/>
    <x:tableColumn id="3" name="P1：入门 AI PC"/>
    <x:tableColumn id="4" name="P2：主流 AI PC"/>
    <x:tableColumn id="5" name="P3：高容量 AI PC"/>
    <x:tableColumn id="6" name="选择依据/使用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ecutionModes" displayName="ExecutionModes" ref="A5:G10" headerRowCount="1" totalsRowCount="0" totalsRowShown="0">
  <x:autoFilter ref="A5:G10"/>
  <x:tableColumns count="7">
    <x:tableColumn id="1" name="执行方式"/>
    <x:tableColumn id="2" name="能否在Windows跑"/>
    <x:tableColumn id="3" name="是否真实应用"/>
    <x:tableColumn id="4" name="是否真实命中DUT"/>
    <x:tableColumn id="5" name="适合case"/>
    <x:tableColumn id="6" name="结果如何使用"/>
    <x:tableColumn id="7" name="主要限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itorPlan" displayName="MonitorPlan" ref="A5:E12" headerRowCount="1" totalsRowCount="0" totalsRowShown="0">
  <x:autoFilter ref="A5:E12"/>
  <x:tableColumns count="5">
    <x:tableColumn id="1" name="监控域"/>
    <x:tableColumn id="2" name="Windows采集方式"/>
    <x:tableColumn id="3" name="采样/触发"/>
    <x:tableColumn id="4" name="核心字段"/>
    <x:tableColumn id="5" name="用于解释的风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erdictRules" displayName="VerdictRules" ref="A17:D24" headerRowCount="1" totalsRowCount="0" totalsRowShown="0">
  <x:autoFilter ref="A17:D24"/>
  <x:tableColumns count="4">
    <x:tableColumn id="1" name="状态/规则"/>
    <x:tableColumn id="2" name="判定"/>
    <x:tableColumn id="3" name="适用范围"/>
    <x:tableColumn id="4" name="处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4a2d3e4b09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e3eef78b78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472fc9898f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ff9e95b3e74c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964001488547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c3eab136a04414" /><Relationship Type="http://schemas.openxmlformats.org/officeDocument/2006/relationships/table" Target="/xl/tables/table7.xml" Id="R5b1a1e807c9242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43" t="str">
        <x:v>消费级 AI PC · AI SSD 测试用例设计矩阵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34" customHeight="1">
      <x:c r="A2" s="44" t="str">
        <x:v>依据仓库 MLPerf Storage / DLIO / KV Cache / Milvus VectorDB 能力收敛；适用 Windows 11、1–4TB 消费级 NVMe、显存+系统内存 32–128GB。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42" customHeight="1">
      <x:c r="A4" s="46" t="str">
        <x:v>使用方式</x:v>
      </x:c>
      <x:c r="B4" s="47" t="str">
        <x:v>先看配置基线，再按 Stage 0→6 执行；按执行模式区分 Native、Scaled、Trace/Replay 和 Hybrid。</x:v>
      </x:c>
      <x:c r="C4" s="47"/>
      <x:c r="D4" s="47"/>
      <x:c r="E4" s="47"/>
      <x:c r="F4" s="47"/>
      <x:c r="G4" s="47"/>
      <x:c r="H4" s="47"/>
      <x:c r="I4" s="47"/>
      <x:c r="J4" s="47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</x:row>
    <x:row r="6">
      <x:c r="A6" s="46" t="str">
        <x:v>核心矩阵统计</x:v>
      </x:c>
      <x:c r="B6" s="47" t="str">
        <x:v>公式自动汇总；结果列可直接填写。</x:v>
      </x:c>
      <x:c r="C6" s="47"/>
      <x:c r="D6" s="47"/>
      <x:c r="E6" s="47"/>
      <x:c r="F6" s="47"/>
      <x:c r="G6" s="47"/>
      <x:c r="H6" s="47"/>
      <x:c r="I6" s="47"/>
      <x:c r="J6" s="47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</x:row>
    <x:row r="8" ht="32" customHeight="1">
      <x:c r="A8" s="48" t="str">
        <x:v>指标</x:v>
      </x:c>
      <x:c r="B8" s="48" t="str">
        <x:v>数值</x:v>
      </x:c>
      <x:c r="C8" s="48" t="str">
        <x:v>说明</x:v>
      </x:c>
      <x:c r="D8" s="48" t="str">
        <x:v>指标</x:v>
      </x:c>
      <x:c r="E8" s="48" t="str">
        <x:v>数值</x:v>
      </x:c>
      <x:c r="F8" s="48" t="str">
        <x:v>说明</x:v>
      </x:c>
      <x:c r="G8" s="45"/>
      <x:c r="H8" s="45"/>
      <x:c r="I8" s="45"/>
      <x:c r="J8" s="45"/>
    </x:row>
    <x:row r="9" ht="30" customHeight="1">
      <x:c r="A9" s="36" t="str">
        <x:v>核心case总数</x:v>
      </x:c>
      <x:c r="B9" s="36" t="n">
        <x:f>COUNTA('核心Case矩阵'!$A$6:$A$34)</x:f>
        <x:v>29</x:v>
      </x:c>
      <x:c r="C9" s="36" t="str">
        <x:v>应为29；不含可选扩展</x:v>
      </x:c>
      <x:c r="D9" s="36" t="str">
        <x:v>可选case总数</x:v>
      </x:c>
      <x:c r="E9" s="36" t="n">
        <x:f>COUNTA('可选Case清单'!$A$6:$A$13)</x:f>
        <x:v>8</x:v>
      </x:c>
      <x:c r="F9" s="36" t="str">
        <x:v>应为8</x:v>
      </x:c>
      <x:c r="G9" s="45"/>
      <x:c r="H9" s="45"/>
      <x:c r="I9" s="45"/>
      <x:c r="J9" s="45"/>
    </x:row>
    <x:row r="10" ht="30" customHeight="1">
      <x:c r="A10" s="36" t="str">
        <x:v>System Gate</x:v>
      </x:c>
      <x:c r="B10" s="36" t="n">
        <x:f>COUNTIF('核心Case矩阵'!$N$6:$N$34,"System Gate")</x:f>
        <x:v>4</x:v>
      </x:c>
      <x:c r="C10" s="36" t="str">
        <x:v>不计入性能排名</x:v>
      </x:c>
      <x:c r="D10" s="36" t="str">
        <x:v>Native</x:v>
      </x:c>
      <x:c r="E10" s="36" t="n">
        <x:f>COUNTIF('核心Case矩阵'!$N$6:$N$34,"Native")</x:f>
        <x:v>12</x:v>
      </x:c>
      <x:c r="F10" s="36" t="str">
        <x:v>真实应用端到端</x:v>
      </x:c>
      <x:c r="G10" s="45"/>
      <x:c r="H10" s="45"/>
      <x:c r="I10" s="45"/>
      <x:c r="J10" s="45"/>
    </x:row>
    <x:row r="11" ht="30" customHeight="1">
      <x:c r="A11" s="36" t="str">
        <x:v>Scaled</x:v>
      </x:c>
      <x:c r="B11" s="36" t="n">
        <x:f>COUNTIF('核心Case矩阵'!$N$6:$N$34,"Scaled")</x:f>
        <x:v>0</x:v>
      </x:c>
      <x:c r="C11" s="36" t="str">
        <x:v>缩小工作集，单独统计</x:v>
      </x:c>
      <x:c r="D11" s="36" t="str">
        <x:v>Trace/Replay</x:v>
      </x:c>
      <x:c r="E11" s="36" t="n">
        <x:f>COUNTIF('核心Case矩阵'!$N$6:$N$34,"Trace/Replay")</x:f>
        <x:v>3</x:v>
      </x:c>
      <x:c r="F11" s="36" t="str">
        <x:v>SSD回放，不替代应用结果</x:v>
      </x:c>
      <x:c r="G11" s="45"/>
      <x:c r="H11" s="45"/>
      <x:c r="I11" s="45"/>
      <x:c r="J11" s="45"/>
    </x:row>
    <x:row r="12" ht="30" customHeight="1">
      <x:c r="A12" s="36" t="str">
        <x:v>Hybrid</x:v>
      </x:c>
      <x:c r="B12" s="36" t="n">
        <x:f>COUNTIF('核心Case矩阵'!$N$6:$N$34,"Hybrid")</x:f>
        <x:v>10</x:v>
      </x:c>
      <x:c r="C12" s="36" t="str">
        <x:v>按容量门禁分支</x:v>
      </x:c>
      <x:c r="D12" s="36" t="str">
        <x:v>Stage 0–3主成绩</x:v>
      </x:c>
      <x:c r="E12" s="36" t="n">
        <x:f>COUNTIF('核心Case矩阵'!$H$6:$H$34,"Stage 0")+COUNTIF('核心Case矩阵'!$H$6:$H$34,"Stage 1")+COUNTIF('核心Case矩阵'!$H$6:$H$34,"Stage 2")+COUNTIF('核心Case矩阵'!$H$6:$H$34,"Stage 3")</x:f>
        <x:v>22</x:v>
      </x:c>
      <x:c r="F12" s="36" t="str">
        <x:v>建议每台设备必跑</x:v>
      </x:c>
      <x:c r="G12" s="45"/>
      <x:c r="H12" s="45"/>
      <x:c r="I12" s="45"/>
      <x:c r="J12" s="45"/>
    </x:row>
    <x:row r="13" ht="30" customHeight="1">
      <x:c r="A13" s="36" t="str">
        <x:v>Stage 4混合</x:v>
      </x:c>
      <x:c r="B13" s="36" t="n">
        <x:f>COUNTIF('核心Case矩阵'!$H$6:$H$34,"Stage 4")</x:f>
        <x:v>3</x:v>
      </x:c>
      <x:c r="C13" s="36" t="str">
        <x:v>QoS/干扰测试</x:v>
      </x:c>
      <x:c r="D13" s="36" t="str">
        <x:v>Stage 5/6</x:v>
      </x:c>
      <x:c r="E13" s="36" t="n">
        <x:f>COUNTIF('核心Case矩阵'!$H$6:$H$34,"Stage 5")+COUNTIF('核心Case矩阵'!$H$6:$H$34,"Stage 6")</x:f>
        <x:v>4</x:v>
      </x:c>
      <x:c r="F13" s="36" t="str">
        <x:v>稳定性、恢复与完整性</x:v>
      </x:c>
      <x:c r="G13" s="45"/>
      <x:c r="H13" s="45"/>
      <x:c r="I13" s="45"/>
      <x:c r="J13" s="45"/>
    </x:row>
    <x:row r="14" ht="30" customHeight="1">
      <x:c r="A14" s="36" t="str">
        <x:v>发布状态</x:v>
      </x:c>
      <x:c r="B14" s="36" t="str">
        <x:v>Not Started</x:v>
      </x:c>
      <x:c r="C14" s="36" t="str">
        <x:v>在明细表结果列更新</x:v>
      </x:c>
      <x:c r="D14" s="36" t="str">
        <x:v>首轮设备</x:v>
      </x:c>
      <x:c r="E14" s="36" t="str">
        <x:v>P1/P2/P3</x:v>
      </x:c>
      <x:c r="F14" s="36" t="str">
        <x:v>按实机档位选择</x:v>
      </x:c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9" t="str">
        <x:v>三档配置与首轮选择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 ht="42" customHeight="1">
      <x:c r="A17" s="36" t="str">
        <x:v>P1：入门</x:v>
      </x:c>
      <x:c r="B17" s="36" t="str">
        <x:v>1TB + 32GB</x:v>
      </x:c>
      <x:c r="C17" s="36" t="str">
        <x:v>8B KV、8B checkpoint 单轮、UNet/Retina scaled、1M VDB</x:v>
      </x:c>
      <x:c r="D17" s="36" t="str">
        <x:v>原因：最小消费级配置；先验证路径、容量和基础 I/O。</x:v>
      </x:c>
      <x:c r="E17" s="36"/>
      <x:c r="F17" s="36"/>
      <x:c r="G17" s="36"/>
      <x:c r="H17" s="36"/>
      <x:c r="I17" s="36"/>
      <x:c r="J17" s="36"/>
    </x:row>
    <x:row r="18" ht="42" customHeight="1">
      <x:c r="A18" s="36" t="str">
        <x:v>P2：主流</x:v>
      </x:c>
      <x:c r="B18" s="36" t="str">
        <x:v>2TB + 64GB</x:v>
      </x:c>
      <x:c r="C18" s="36" t="str">
        <x:v>8B full、70B subset、ResNet50、1M/5M VDB、8B mixed</x:v>
      </x:c>
      <x:c r="D18" s="36" t="str">
        <x:v>原因：主流 AI PC；容量和内存可覆盖训练、恢复、本地 RAG。</x:v>
      </x:c>
      <x:c r="E18" s="36"/>
      <x:c r="F18" s="36"/>
      <x:c r="G18" s="36"/>
      <x:c r="H18" s="36"/>
      <x:c r="I18" s="36"/>
      <x:c r="J18" s="36"/>
    </x:row>
    <x:row r="19" ht="42" customHeight="1">
      <x:c r="A19" s="36" t="str">
        <x:v>P3：高容量</x:v>
      </x:c>
      <x:c r="B19" s="36" t="str">
        <x:v>4TB + 128GB</x:v>
      </x:c>
      <x:c r="C19" s="36" t="str">
        <x:v>大训练集、8B 10/10、70B subset 多轮、10M VDB、KV trace stress</x:v>
      </x:c>
      <x:c r="D19" s="36" t="str">
        <x:v>原因：评价持续写入、GC、热稳定性和混合业务。</x:v>
      </x:c>
      <x:c r="E19" s="36"/>
      <x:c r="F19" s="36"/>
      <x:c r="G19" s="36"/>
      <x:c r="H19" s="36"/>
      <x:c r="I19" s="36"/>
      <x:c r="J19" s="36"/>
    </x:row>
    <x:row r="20" ht="42" customHeight="1">
      <x:c r="A20" s="36" t="str">
        <x:v>原则</x:v>
      </x:c>
      <x:c r="B20" s="36" t="str">
        <x:v>容量优先</x:v>
      </x:c>
      <x:c r="C20" s="36" t="str">
        <x:v>active_workset + temp + results + reserve ≤ usable</x:v>
      </x:c>
      <x:c r="D20" s="36" t="str">
        <x:v>不得把 scaled、native、replay 结果合并为一个总分。</x:v>
      </x:c>
      <x:c r="E20" s="36"/>
      <x:c r="F20" s="36"/>
      <x:c r="G20" s="36"/>
      <x:c r="H20" s="36"/>
      <x:c r="I20" s="36"/>
      <x:c r="J20" s="36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 ht="52" customHeight="1">
      <x:c r="A22" s="50" t="str">
        <x:v>设计思路：UNet3D测大文件带宽；RetinaNet测小文件IOPS；ResNet50测中等对象；Checkpoint测大块写读；KV测小对象并发和spill；VectorDB测随机ANN。顺序为：路径门禁 → Native基线 → 混合QoS → 稳定性 → 恢复完整性。</x:v>
      </x:c>
      <x:c r="B22" s="50"/>
      <x:c r="C22" s="50"/>
      <x:c r="D22" s="50"/>
      <x:c r="E22" s="50"/>
      <x:c r="F22" s="50"/>
      <x:c r="G22" s="50"/>
      <x:c r="H22" s="50"/>
      <x:c r="I22" s="50"/>
      <x:c r="J22" s="50"/>
    </x:row>
  </x:sheetData>
  <x:mergeCells>
    <x:mergeCell ref="A1:J1"/>
    <x:mergeCell ref="A2:J2"/>
    <x:mergeCell ref="B4:J4"/>
    <x:mergeCell ref="B6:J6"/>
    <x:mergeCell ref="A16:J16"/>
    <x:mergeCell ref="D17:J17"/>
    <x:mergeCell ref="D18:J18"/>
    <x:mergeCell ref="D19:J19"/>
    <x:mergeCell ref="D20:J20"/>
    <x:mergeCell ref="A22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8" hidden="0" customWidth="1"/>
    <x:col min="4" max="4" width="14" hidden="0" customWidth="1"/>
    <x:col min="5" max="5" width="15" hidden="0" customWidth="1"/>
    <x:col min="6" max="6" width="10" hidden="0" customWidth="1"/>
    <x:col min="7" max="7" width="11" hidden="0" customWidth="1"/>
    <x:col min="8" max="8" width="13" hidden="0" customWidth="1"/>
    <x:col min="9" max="9" width="23" hidden="0" customWidth="1"/>
    <x:col min="10" max="10" width="23" hidden="0" customWidth="1"/>
    <x:col min="11" max="11" width="30" hidden="0" customWidth="1"/>
    <x:col min="12" max="12" width="40" hidden="0" customWidth="1"/>
    <x:col min="13" max="13" width="14" hidden="0" customWidth="1"/>
    <x:col min="14" max="14" width="35" hidden="0" customWidth="1"/>
    <x:col min="15" max="15" width="28" hidden="0" customWidth="1"/>
    <x:col min="16" max="16" width="24" hidden="0" customWidth="1"/>
    <x:col min="17" max="17" width="34" hidden="0" customWidth="1"/>
    <x:col min="18" max="18" width="30" hidden="0" customWidth="1"/>
    <x:col min="19" max="19" width="34" hidden="0" customWidth="1"/>
    <x:col min="20" max="20" width="26" hidden="0" customWidth="1"/>
    <x:col min="21" max="21" width="16" hidden="0" customWidth="1"/>
    <x:col min="22" max="22" width="13" hidden="0" customWidth="1"/>
    <x:col min="23" max="23" width="24" hidden="0" customWidth="1"/>
  </x:cols>
  <x:sheetData>
    <x:row r="1" ht="30" customHeight="1">
      <x:c r="A1" s="43" t="str">
        <x:v>核心测试用例矩阵（29 cases）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</x:row>
    <x:row r="2" ht="34" customHeight="1">
      <x:c r="A2" s="44" t="str">
        <x:v>执行顺序：Stage 0 门禁 → Stage 1 I/O口径 → Stage 2 smoke → Stage 3 基线 → Stage 4 混合QoS → Stage 5 稳定性 → Stage 6 恢复。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</x:row>
    <x:row r="5" ht="32" customHeight="1">
      <x:c r="A5" s="48" t="str">
        <x:v>Case ID</x:v>
      </x:c>
      <x:c r="B5" s="48" t="str">
        <x:v>测试工具</x:v>
      </x:c>
      <x:c r="C5" s="48" t="str">
        <x:v>测试目的</x:v>
      </x:c>
      <x:c r="D5" s="48" t="str">
        <x:v>测试步骤</x:v>
      </x:c>
      <x:c r="E5" s="48" t="str">
        <x:v>测试时长</x:v>
      </x:c>
      <x:c r="F5" s="48" t="str">
        <x:v>测试脚本</x:v>
      </x:c>
      <x:c r="G5" s="48" t="str">
        <x:v>测试标准</x:v>
      </x:c>
      <x:c r="H5" s="48" t="str">
        <x:v>阶段</x:v>
      </x:c>
      <x:c r="I5" s="48" t="str">
        <x:v>优先级</x:v>
      </x:c>
      <x:c r="J5" s="48" t="str">
        <x:v>测试家族</x:v>
      </x:c>
      <x:c r="K5" s="48" t="str">
        <x:v>推荐配置档位</x:v>
      </x:c>
      <x:c r="L5" s="48" t="str">
        <x:v>SSD容量</x:v>
      </x:c>
      <x:c r="M5" s="48" t="str">
        <x:v>内存+显存</x:v>
      </x:c>
      <x:c r="N5" s="48" t="str">
        <x:v>执行模式</x:v>
      </x:c>
      <x:c r="O5" s="48" t="str">
        <x:v>模型/工作负载</x:v>
      </x:c>
      <x:c r="P5" s="48" t="str">
        <x:v>监控项</x:v>
      </x:c>
      <x:c r="Q5" s="48" t="str">
        <x:v>主要指标</x:v>
      </x:c>
      <x:c r="R5" s="48" t="str">
        <x:v>无效条件</x:v>
      </x:c>
      <x:c r="S5" s="48" t="str">
        <x:v>配置选择理由</x:v>
      </x:c>
      <x:c r="T5" s="48" t="str">
        <x:v>预期输出</x:v>
      </x:c>
      <x:c r="U5" s="48" t="str">
        <x:v>Windows状态</x:v>
      </x:c>
      <x:c r="V5" s="48" t="str">
        <x:v>结果</x:v>
      </x:c>
      <x:c r="W5" s="48" t="str">
        <x:v>备注</x:v>
      </x:c>
    </x:row>
    <x:row r="6" ht="86" customHeight="1">
      <x:c r="A6" s="71" t="str">
        <x:v>S0-ENV-01</x:v>
      </x:c>
      <x:c r="B6" s="36" t="str">
        <x:v>PowerShell + mlpstorage init</x:v>
      </x:c>
      <x:c r="C6" s="36" t="str">
        <x:v>建立DUT 基线，证明监控和数据路径可用</x:v>
      </x:c>
      <x:c r="D6" s="36" t="str">
        <x:v>1. 记录 SSD 型号/固件、PCIe link、文件系统、剩余空间
2. 设置电源模式
3. 建立 DUT_DATA、DUT_CACHE、RESULTS
4. 启动 1 s 采样</x:v>
      </x:c>
      <x:c r="E6" s="36" t="str">
        <x:v>15–20 分钟</x:v>
      </x:c>
      <x:c r="F6" s="36" t="str">
        <x:v>mlpstorage init --results-dir &lt;RESULTS&gt;
Get-Counter '\PhysicalDisk(*)\*' -SampleInterval 1</x:v>
      </x:c>
      <x:c r="G6" s="36" t="str">
        <x:v>身份/路径/监控完整；RESULTS 不在 DUT 或已明确例外</x:v>
      </x:c>
      <x:c r="H6" s="36" t="str">
        <x:v>Stage 0</x:v>
      </x:c>
      <x:c r="I6" s="72" t="str">
        <x:v>P0</x:v>
      </x:c>
      <x:c r="J6" s="36" t="str">
        <x:v>环境/可观测性</x:v>
      </x:c>
      <x:c r="K6" s="36" t="str">
        <x:v>P1/P2/P3</x:v>
      </x:c>
      <x:c r="L6" s="36" t="str">
        <x:v>1/2/4 TB</x:v>
      </x:c>
      <x:c r="M6" s="36" t="str">
        <x:v>32/64/128 GB</x:v>
      </x:c>
      <x:c r="N6" s="72" t="str">
        <x:v>System Gate</x:v>
      </x:c>
      <x:c r="O6" s="36" t="str">
        <x:v>DUT 身份、SMART、PCIe、温度、路径</x:v>
      </x:c>
      <x:c r="P6" s="36" t="str">
        <x:v>PhysicalDisk bytes/IOPS/latency/queue/busy、温度、CPU、RAM、GPU、paging、WHEA/StorPort</x:v>
      </x:c>
      <x:c r="Q6" s="36" t="str">
        <x:v>字段完整率、监控采样连续性、DUT 路径命中</x:v>
      </x:c>
      <x:c r="R6" s="36" t="str">
        <x:v>缺少 SSD 身份、无温度或磁盘计数器、结果目录与 DUT 混用</x:v>
      </x:c>
      <x:c r="S6" s="36" t="str">
        <x:v>先建立证据链，避免把页缓存、Docker VHDX 或结果写入误判为 SSD 性能</x:v>
      </x:c>
      <x:c r="T6" s="36" t="str">
        <x:v>manifest.json、windows_disk_1s.csv</x:v>
      </x:c>
      <x:c r="U6" s="36" t="str">
        <x:v>可运行</x:v>
      </x:c>
      <x:c r="V6" s="72" t="str">
        <x:v>Not Started</x:v>
      </x:c>
      <x:c r="W6" s="36" t="str"/>
    </x:row>
    <x:row r="7" ht="86" customHeight="1">
      <x:c r="A7" s="71" t="str">
        <x:v>S0-CAP-02</x:v>
      </x:c>
      <x:c r="B7" s="36" t="str">
        <x:v>mlpstorage datasize + PowerShell</x:v>
      </x:c>
      <x:c r="C7" s="36" t="str">
        <x:v>确认工作集、临时空间、结果空间和保留空间能够共存</x:v>
      </x:c>
      <x:c r="D7" s="36" t="str">
        <x:v>1. 计算 workload 所需空间
2. 检查可用容量
3. 保留 15–20% 空闲
4. 确认 Docker/Milvus 临时空间</x:v>
      </x:c>
      <x:c r="E7" s="36" t="str">
        <x:v>10 分钟</x:v>
      </x:c>
      <x:c r="F7" s="36" t="str">
        <x:v>mlpstorage training datasize ...
Get-Volume | Select DriveLetter,SizeRemaining,Size</x:v>
      </x:c>
      <x:c r="G7" s="36" t="str">
        <x:v>容量预算通过且路径映射清楚</x:v>
      </x:c>
      <x:c r="H7" s="36" t="str">
        <x:v>Stage 0</x:v>
      </x:c>
      <x:c r="I7" s="72" t="str">
        <x:v>P0</x:v>
      </x:c>
      <x:c r="J7" s="36" t="str">
        <x:v>容量/路径门禁</x:v>
      </x:c>
      <x:c r="K7" s="36" t="str">
        <x:v>P1/P2/P3</x:v>
      </x:c>
      <x:c r="L7" s="36" t="str">
        <x:v>1/2/4 TB</x:v>
      </x:c>
      <x:c r="M7" s="36" t="str">
        <x:v>32/64/128 GB</x:v>
      </x:c>
      <x:c r="N7" s="72" t="str">
        <x:v>System Gate</x:v>
      </x:c>
      <x:c r="O7" s="36" t="str">
        <x:v>容量预算、数据与结果目录</x:v>
      </x:c>
      <x:c r="P7" s="36" t="str">
        <x:v>卷可用空间、写入量、Docker 磁盘镜像位置</x:v>
      </x:c>
      <x:c r="Q7" s="36" t="str">
        <x:v>active_workset + temp + results + reserve ≤ usable</x:v>
      </x:c>
      <x:c r="R7" s="36" t="str">
        <x:v>可用空间不足、目标卷不是被测 SSD、保留空间低于 15%</x:v>
      </x:c>
      <x:c r="S7" s="36" t="str">
        <x:v>消费级盘不应填满；先用容量门禁决定 native、scaled 或 not-run</x:v>
      </x:c>
      <x:c r="T7" s="36" t="str">
        <x:v>capacity_check.json、configview.txt</x:v>
      </x:c>
      <x:c r="U7" s="36" t="str">
        <x:v>可运行</x:v>
      </x:c>
      <x:c r="V7" s="72" t="str">
        <x:v>Not Started</x:v>
      </x:c>
      <x:c r="W7" s="36" t="str"/>
    </x:row>
    <x:row r="8" ht="86" customHeight="1">
      <x:c r="A8" s="71" t="str">
        <x:v>S0-CONFIG-03</x:v>
      </x:c>
      <x:c r="B8" s="36" t="str">
        <x:v>mlpstorage configview + Git</x:v>
      </x:c>
      <x:c r="C8" s="36" t="str">
        <x:v>锁定软件和参数，保证不同 SSD 结果可比较</x:v>
      </x:c>
      <x:c r="D8" s="36" t="str">
        <x:v>1. 执行 configview
2. 保存 CLI、YAML、commit、Python/driver/Docker 版本
3. 固定 seed=42
4. 生成 run manifest</x:v>
      </x:c>
      <x:c r="E8" s="36" t="str">
        <x:v>10 分钟</x:v>
      </x:c>
      <x:c r="F8" s="36" t="str">
        <x:v>mlpstorage training configview ...
mlpstorage checkpointing configview ...</x:v>
      </x:c>
      <x:c r="G8" s="36" t="str">
        <x:v>配置缺失、seed 不一致、同一 run 混用不同数据集</x:v>
      </x:c>
      <x:c r="H8" s="36" t="str">
        <x:v>Stage 0</x:v>
      </x:c>
      <x:c r="I8" s="72" t="str">
        <x:v>P0</x:v>
      </x:c>
      <x:c r="J8" s="36" t="str">
        <x:v>配置复现</x:v>
      </x:c>
      <x:c r="K8" s="36" t="str">
        <x:v>P1/P2/P3</x:v>
      </x:c>
      <x:c r="L8" s="36" t="str">
        <x:v>1/2/4 TB</x:v>
      </x:c>
      <x:c r="M8" s="36" t="str">
        <x:v>32/64/128 GB</x:v>
      </x:c>
      <x:c r="N8" s="72" t="str">
        <x:v>System Gate</x:v>
      </x:c>
      <x:c r="O8" s="36" t="str">
        <x:v>模型、seed、版本、参数快照</x:v>
      </x:c>
      <x:c r="P8" s="36" t="str">
        <x:v>版本、seed、加速器模型、reader threads、batch、cache 状态</x:v>
      </x:c>
      <x:c r="Q8" s="36" t="str">
        <x:v>配置快照可回放；run_id 唯一；结果目录结构一致</x:v>
      </x:c>
      <x:c r="R8" s="36" t="str">
        <x:v>先冻结变量，再逐步改变容量、并发、缓存和温度</x:v>
      </x:c>
      <x:c r="S8" s="36" t="str">
        <x:v>configview.txt、manifest.json</x:v>
      </x:c>
      <x:c r="T8" s="36" t="str">
        <x:v>可运行</x:v>
      </x:c>
      <x:c r="U8" s="36" t="str">
        <x:v>可运行</x:v>
      </x:c>
      <x:c r="V8" s="72" t="str">
        <x:v>Not Started</x:v>
      </x:c>
      <x:c r="W8" s="36" t="str"/>
    </x:row>
    <x:row r="9" ht="86" customHeight="1">
      <x:c r="A9" s="71" t="str">
        <x:v>S1-IO-01</x:v>
      </x:c>
      <x:c r="B9" s="36" t="str">
        <x:v>vdbbench.trace_runner + replay.py</x:v>
      </x:c>
      <x:c r="C9" s="36" t="str">
        <x:v>建立逻辑 trace 到 Windows 文件系统回放的基线</x:v>
      </x:c>
      <x:c r="D9" s="36" t="str">
        <x:v>1. 录制 insert/flush/load/search
2. 保存六列 trace
3. 按原始节奏回放
4. 记录逻辑字节与 PhysicalDisk 字节</x:v>
      </x:c>
      <x:c r="E9" s="36" t="str">
        <x:v>20–30 分钟</x:v>
      </x:c>
      <x:c r="F9" s="36" t="str">
        <x:v>python -m vdbbench.trace_runner --vectors 1000 --dim 128 --output trace.csv
python -m vdbbench.replay --trace trace.csv --root &lt;DUT_DATA&gt;</x:v>
      </x:c>
      <x:c r="G9" s="36" t="str">
        <x:v>trace 完整；回放无异常；逻辑/物理字节均有记录</x:v>
      </x:c>
      <x:c r="H9" s="36" t="str">
        <x:v>Stage 1</x:v>
      </x:c>
      <x:c r="I9" s="72" t="str">
        <x:v>P0</x:v>
      </x:c>
      <x:c r="J9" s="36" t="str">
        <x:v>I/O校准</x:v>
      </x:c>
      <x:c r="K9" s="36" t="str">
        <x:v>P1/P2/P3</x:v>
      </x:c>
      <x:c r="L9" s="36" t="str">
        <x:v>1/2/4 TB</x:v>
      </x:c>
      <x:c r="M9" s="36" t="str">
        <x:v>32/64/128 GB</x:v>
      </x:c>
      <x:c r="N9" s="72" t="str">
        <x:v>Trace/Replay</x:v>
      </x:c>
      <x:c r="O9" s="36" t="str">
        <x:v>VDB 1K/128 trace，buffered</x:v>
      </x:c>
      <x:c r="P9" s="36" t="str">
        <x:v>PhysicalDisk read/write、队列、文件系统缓存、CPU</x:v>
      </x:c>
      <x:c r="Q9" s="36" t="str">
        <x:v>P50/P95/P99、吞吐、logical/device bytes、放大倍数</x:v>
      </x:c>
      <x:c r="R9" s="36" t="str">
        <x:v>trace 缺列、回放未命中 DUT、无物理 I/O 证据</x:v>
      </x:c>
      <x:c r="S9" s="36" t="str">
        <x:v>先用小 trace 校准口径，不把 replay 结果当作 Milvus 端到端结果</x:v>
      </x:c>
      <x:c r="T9" s="36" t="str">
        <x:v>trace.csv、replay_summary.json</x:v>
      </x:c>
      <x:c r="U9" s="36" t="str">
        <x:v>可运行</x:v>
      </x:c>
      <x:c r="V9" s="72" t="str">
        <x:v>Not Started</x:v>
      </x:c>
      <x:c r="W9" s="36" t="str"/>
    </x:row>
    <x:row r="10" ht="86" customHeight="1">
      <x:c r="A10" s="71" t="str">
        <x:v>S1-IO-02</x:v>
      </x:c>
      <x:c r="B10" s="36" t="str">
        <x:v>vdbbench.replay --direct-io</x:v>
      </x:c>
      <x:c r="C10" s="36" t="str">
        <x:v>区分页缓存影响，验证 unbuffered 访问路径</x:v>
      </x:c>
      <x:c r="D10" s="36" t="str">
        <x:v>1. 复用 S1-IO-01 trace
2. 开启 direct I/O
3. 检查 Windows 对齐错误
4. 比较 buffered/direct 两条曲线</x:v>
      </x:c>
      <x:c r="E10" s="36" t="str">
        <x:v>20–30 分钟</x:v>
      </x:c>
      <x:c r="F10" s="36" t="str">
        <x:v>python -m vdbbench.replay --trace trace.csv --root &lt;DUT_DATA&gt; --direct-io</x:v>
      </x:c>
      <x:c r="G10" s="36" t="str">
        <x:v>对齐失败、物理 bytes 为 0、结果只来自页缓存</x:v>
      </x:c>
      <x:c r="H10" s="36" t="str">
        <x:v>Stage 1</x:v>
      </x:c>
      <x:c r="I10" s="72" t="str">
        <x:v>P0</x:v>
      </x:c>
      <x:c r="J10" s="36" t="str">
        <x:v>I/O校准</x:v>
      </x:c>
      <x:c r="K10" s="36" t="str">
        <x:v>P1/P2/P3</x:v>
      </x:c>
      <x:c r="L10" s="36" t="str">
        <x:v>1/2/4 TB</x:v>
      </x:c>
      <x:c r="M10" s="36" t="str">
        <x:v>32/64/128 GB</x:v>
      </x:c>
      <x:c r="N10" s="72" t="str">
        <x:v>Trace/Replay</x:v>
      </x:c>
      <x:c r="O10" s="36" t="str">
        <x:v>同一 trace，Direct I/O</x:v>
      </x:c>
      <x:c r="P10" s="36" t="str">
        <x:v>PhysicalDisk bytes、平均延迟、对齐错误、queue length</x:v>
      </x:c>
      <x:c r="Q10" s="36" t="str">
        <x:v>direct I/O 物理读写可见；P99 和放大系数可解释</x:v>
      </x:c>
      <x:c r="R10" s="36" t="str">
        <x:v>Windows 上用 Direct I/O 替代 Linux drop_caches，形成更可信的 SSD 证据</x:v>
      </x:c>
      <x:c r="S10" s="36" t="str">
        <x:v>direct_replay_summary.json</x:v>
      </x:c>
      <x:c r="T10" s="36" t="str">
        <x:v>可运行</x:v>
      </x:c>
      <x:c r="U10" s="36" t="str">
        <x:v>可运行</x:v>
      </x:c>
      <x:c r="V10" s="72" t="str">
        <x:v>Not Started</x:v>
      </x:c>
      <x:c r="W10" s="36" t="str"/>
    </x:row>
    <x:row r="11" ht="86" customHeight="1">
      <x:c r="A11" s="71" t="str">
        <x:v>S1-IO-03</x:v>
      </x:c>
      <x:c r="B11" s="36" t="str">
        <x:v>replay.py + PowerShell Restart-Computer</x:v>
      </x:c>
      <x:c r="C11" s="36" t="str">
        <x:v>量化首次访问、缓存命中和重启冷启动差异</x:v>
      </x:c>
      <x:c r="D11" s="36" t="str">
        <x:v>1. 执行 cold replay
2. 重复相同 trace 得 warm
3. 系统重启后再执行 reboot-cold
4. 分别归档三次结果</x:v>
      </x:c>
      <x:c r="E11" s="36" t="str">
        <x:v>30–45 分钟</x:v>
      </x:c>
      <x:c r="F11" s="36" t="str">
        <x:v>python -m vdbbench.replay --trace trace.csv --root &lt;DUT_DATA&gt;
Restart-Computer</x:v>
      </x:c>
      <x:c r="G11" s="36" t="str">
        <x:v>未重启却标记 cold、物理读量无变化且无解释</x:v>
      </x:c>
      <x:c r="H11" s="36" t="str">
        <x:v>Stage 1</x:v>
      </x:c>
      <x:c r="I11" s="72" t="str">
        <x:v>P0</x:v>
      </x:c>
      <x:c r="J11" s="36" t="str">
        <x:v>缓存对照</x:v>
      </x:c>
      <x:c r="K11" s="36" t="str">
        <x:v>P1/P2/P3</x:v>
      </x:c>
      <x:c r="L11" s="36" t="str">
        <x:v>1/2/4 TB</x:v>
      </x:c>
      <x:c r="M11" s="36" t="str">
        <x:v>32/64/128 GB</x:v>
      </x:c>
      <x:c r="N11" s="72" t="str">
        <x:v>Trace/Replay</x:v>
      </x:c>
      <x:c r="O11" s="36" t="str">
        <x:v>cold → warm → reboot-cold</x:v>
      </x:c>
      <x:c r="P11" s="36" t="str">
        <x:v>物理读量、缓存命中、首轮/稳态延迟、启动时间</x:v>
      </x:c>
      <x:c r="Q11" s="36" t="str">
        <x:v>三种状态独立报告；不合并平均值；重启后数据完整</x:v>
      </x:c>
      <x:c r="R11" s="36" t="str">
        <x:v>缓存状态是消费级 AI PC 结果的主要混杂因素，必须单列</x:v>
      </x:c>
      <x:c r="S11" s="36" t="str">
        <x:v>cold_warm_compare.csv</x:v>
      </x:c>
      <x:c r="T11" s="36" t="str">
        <x:v>可运行</x:v>
      </x:c>
      <x:c r="U11" s="36" t="str">
        <x:v>可运行</x:v>
      </x:c>
      <x:c r="V11" s="72" t="str">
        <x:v>Not Started</x:v>
      </x:c>
      <x:c r="W11" s="36" t="str"/>
    </x:row>
    <x:row r="12" ht="86" customHeight="1">
      <x:c r="A12" s="71" t="str">
        <x:v>S1-IO-04</x:v>
      </x:c>
      <x:c r="B12" s="36" t="str">
        <x:v>PowerShell + replay.py</x:v>
      </x:c>
      <x:c r="C12" s="36" t="str">
        <x:v>暴露高占用、GC 和 SLC 缓存退化</x:v>
      </x:c>
      <x:c r="D12" s="36" t="str">
        <x:v>1. 准备不同占用档位
2. 每档执行固定短 trace
3. 不进行长时间 endurance
4. 记录温度和恢复时间</x:v>
      </x:c>
      <x:c r="E12" s="36" t="str">
        <x:v>45–60 分钟</x:v>
      </x:c>
      <x:c r="F12" s="36" t="str">
        <x:v>fsutil file createnew &lt;path&gt; &lt;bytes&gt;
python -m vdbbench.replay --trace trace.csv --root &lt;DUT_DATA&gt;</x:v>
      </x:c>
      <x:c r="G12" s="36" t="str">
        <x:v>占用超过 90%、容量门禁被绕过、温度/错误未记录</x:v>
      </x:c>
      <x:c r="H12" s="36" t="str">
        <x:v>Stage 1</x:v>
      </x:c>
      <x:c r="I12" s="72" t="str">
        <x:v>P0</x:v>
      </x:c>
      <x:c r="J12" s="36" t="str">
        <x:v>占用率敏感性</x:v>
      </x:c>
      <x:c r="K12" s="36" t="str">
        <x:v>P1/P2/P3</x:v>
      </x:c>
      <x:c r="L12" s="36" t="str">
        <x:v>1/2/4 TB</x:v>
      </x:c>
      <x:c r="M12" s="36" t="str">
        <x:v>32/64/128 GB</x:v>
      </x:c>
      <x:c r="N12" s="72" t="str">
        <x:v>System Gate</x:v>
      </x:c>
      <x:c r="O12" s="36" t="str">
        <x:v>50%/80%/90% 盘占用短跑</x:v>
      </x:c>
      <x:c r="P12" s="36" t="str">
        <x:v>可用空间、写延迟 P99、温度、queue、吞吐</x:v>
      </x:c>
      <x:c r="Q12" s="36" t="str">
        <x:v>每个档位无错误；下降超过 10% 标记 GC/thermal cliff</x:v>
      </x:c>
      <x:c r="R12" s="36" t="str">
        <x:v>短跑即可判断容量敏感性，避免过早消耗 TBW</x:v>
      </x:c>
      <x:c r="S12" s="36" t="str">
        <x:v>fill_level_summary.csv</x:v>
      </x:c>
      <x:c r="T12" s="36" t="str">
        <x:v>可运行</x:v>
      </x:c>
      <x:c r="U12" s="36" t="str">
        <x:v>可运行</x:v>
      </x:c>
      <x:c r="V12" s="72" t="str">
        <x:v>Not Started</x:v>
      </x:c>
      <x:c r="W12" s="36" t="str"/>
    </x:row>
    <x:row r="13" ht="86" customHeight="1">
      <x:c r="A13" s="71" t="str">
        <x:v>S2-TRN-01</x:v>
      </x:c>
      <x:c r="B13" s="36" t="str">
        <x:v>mlpstorage training run</x:v>
      </x:c>
      <x:c r="C13" s="36" t="str">
        <x:v>验证训练数据实际从 DUT 读出并形成有效吞吐/AU</x:v>
      </x:c>
      <x:c r="D13" s="36" t="str">
        <x:v>1. 生成或准备小型 NPZ 数据
2. 执行单机 file backend
3. 检查 samples、AU、结果和 PhysicalDisk 读量</x:v>
      </x:c>
      <x:c r="E13" s="36" t="str">
        <x:v>20–30 分钟</x:v>
      </x:c>
      <x:c r="F13" s="36" t="str">
        <x:v>mlpstorage training datagen --model unet3d ...
mlpstorage training run --model unet3d --storage file ...</x:v>
      </x:c>
      <x:c r="G13" s="36" t="str">
        <x:v>只读到页缓存、无 AU、结果文件缺失</x:v>
      </x:c>
      <x:c r="H13" s="36" t="str">
        <x:v>Stage 2</x:v>
      </x:c>
      <x:c r="I13" s="72" t="str">
        <x:v>P0</x:v>
      </x:c>
      <x:c r="J13" s="36" t="str">
        <x:v>Training smoke</x:v>
      </x:c>
      <x:c r="K13" s="36" t="str">
        <x:v>P1/P2/P3</x:v>
      </x:c>
      <x:c r="L13" s="36" t="str">
        <x:v>1/2/4 TB</x:v>
      </x:c>
      <x:c r="M13" s="36" t="str">
        <x:v>32/64/128 GB</x:v>
      </x:c>
      <x:c r="N13" s="72" t="str">
        <x:v>Native</x:v>
      </x:c>
      <x:c r="O13" s="36" t="str">
        <x:v>UNet3D smoke（2–8 文件）</x:v>
      </x:c>
      <x:c r="P13" s="36" t="str">
        <x:v>PhysicalDisk read bytes、reader threads、CPU/GPU、AU</x:v>
      </x:c>
      <x:c r="Q13" s="36" t="str">
        <x:v>退出码 0；AU/吞吐存在；DUT 读量大于 0；结果文件齐全</x:v>
      </x:c>
      <x:c r="R13" s="36" t="str">
        <x:v>UNet3D 大文件代表连续供给，适合最小端到端验证</x:v>
      </x:c>
      <x:c r="S13" s="36" t="str">
        <x:v>training_summary.json、timeseries.csv</x:v>
      </x:c>
      <x:c r="T13" s="36" t="str">
        <x:v>可运行</x:v>
      </x:c>
      <x:c r="U13" s="36" t="str">
        <x:v>可运行</x:v>
      </x:c>
      <x:c r="V13" s="72" t="str">
        <x:v>Not Started</x:v>
      </x:c>
      <x:c r="W13" s="36" t="str"/>
    </x:row>
    <x:row r="14" ht="86" customHeight="1">
      <x:c r="A14" s="71" t="str">
        <x:v>S2-CKPT-01</x:v>
      </x:c>
      <x:c r="B14" s="36" t="str">
        <x:v>mlpstorage checkpointing run</x:v>
      </x:c>
      <x:c r="C14" s="36" t="str">
        <x:v>验证 checkpoint 文件写入、读取和完整性闭环</x:v>
      </x:c>
      <x:c r="D14" s="36" t="str">
        <x:v>1. 准备约 105 GB checkpoint 或受控缩小样本
2. 执行一次 write、一次 read
3. 比较文件大小和 hash</x:v>
      </x:c>
      <x:c r="E14" s="36" t="str">
        <x:v>30–60 分钟</x:v>
      </x:c>
      <x:c r="F14" s="36" t="str">
        <x:v>mlpstorage checkpointing run --model llama3-8b --storage file ...</x:v>
      </x:c>
      <x:c r="G14" s="36" t="str">
        <x:v>只生成元数据、hash 不一致、没有物理写入</x:v>
      </x:c>
      <x:c r="H14" s="36" t="str">
        <x:v>Stage 2</x:v>
      </x:c>
      <x:c r="I14" s="72" t="str">
        <x:v>P0</x:v>
      </x:c>
      <x:c r="J14" s="36" t="str">
        <x:v>Checkpoint smoke</x:v>
      </x:c>
      <x:c r="K14" s="36" t="str">
        <x:v>P1/P2/P3</x:v>
      </x:c>
      <x:c r="L14" s="36" t="str">
        <x:v>1/2/4 TB</x:v>
      </x:c>
      <x:c r="M14" s="36" t="str">
        <x:v>32/64/128 GB</x:v>
      </x:c>
      <x:c r="N14" s="72" t="str">
        <x:v>Native</x:v>
      </x:c>
      <x:c r="O14" s="36" t="str">
        <x:v>Llama3-8B，1 write + 1 read</x:v>
      </x:c>
      <x:c r="P14" s="36" t="str">
        <x:v>PhysicalDisk read/write、fsync、CPU、温度、剩余空间</x:v>
      </x:c>
      <x:c r="Q14" s="36" t="str">
        <x:v>读写字节与文件大小一致；hash 一致；恢复退出码 0</x:v>
      </x:c>
      <x:c r="R14" s="36" t="str">
        <x:v>8B 是消费级本地微调/恢复的首选真实规模</x:v>
      </x:c>
      <x:c r="S14" s="36" t="str">
        <x:v>checkpoint_manifest.json、integrity.json</x:v>
      </x:c>
      <x:c r="T14" s="36" t="str">
        <x:v>Windows单机可运行；正式多rank结果另标</x:v>
      </x:c>
      <x:c r="U14" s="36" t="str">
        <x:v>可运行</x:v>
      </x:c>
      <x:c r="V14" s="72" t="str">
        <x:v>Not Started</x:v>
      </x:c>
      <x:c r="W14" s="36" t="str"/>
    </x:row>
    <x:row r="15" ht="86" customHeight="1">
      <x:c r="A15" s="71" t="str">
        <x:v>S2-KV-01</x:v>
      </x:c>
      <x:c r="B15" s="36" t="str">
        <x:v>mlpstorage kvcache run</x:v>
      </x:c>
      <x:c r="C15" s="36" t="str">
        <x:v>验证 Tier-2 cache directory 指向 DUT 且产生真实 NVMe I/O</x:v>
      </x:c>
      <x:c r="D15" s="36" t="str">
        <x:v>1. 运行 30–60 s
2. 先 CPU tier 0，再 CPU spill 4 GiB
3. 确认 storage entries 和 Tier-2 bytes</x:v>
      </x:c>
      <x:c r="E15" s="36" t="str">
        <x:v>15–25 分钟</x:v>
      </x:c>
      <x:c r="F15" s="36" t="str">
        <x:v>mlpstorage kvcache run --model llama3.1-8b --cache-dir &lt;DUT_CACHE&gt; --duration 60</x:v>
      </x:c>
      <x:c r="G15" s="36" t="str">
        <x:v>Tier-2 bytes=0、cache-dir 非 DUT、只有逻辑计数无物理读写</x:v>
      </x:c>
      <x:c r="H15" s="36" t="str">
        <x:v>Stage 2</x:v>
      </x:c>
      <x:c r="I15" s="72" t="str">
        <x:v>P0</x:v>
      </x:c>
      <x:c r="J15" s="36" t="str">
        <x:v>KV Cache smoke</x:v>
      </x:c>
      <x:c r="K15" s="36" t="str">
        <x:v>P1/P2/P3</x:v>
      </x:c>
      <x:c r="L15" s="36" t="str">
        <x:v>1/2/4 TB</x:v>
      </x:c>
      <x:c r="M15" s="36" t="str">
        <x:v>32/64/128 GB</x:v>
      </x:c>
      <x:c r="N15" s="72" t="str">
        <x:v>Native</x:v>
      </x:c>
      <x:c r="O15" s="36" t="str">
        <x:v>Llama3.1-8B，CPU tier 0/4 GB</x:v>
      </x:c>
      <x:c r="P15" s="36" t="str">
        <x:v>Tier-2 bytes、tokens/s、P95/P99/P99.9、PhysicalDisk</x:v>
      </x:c>
      <x:c r="Q15" s="36" t="str">
        <x:v>进程退出码 0；Tier-2 bytes &gt; 0；无 eviction 异常；监控连续</x:v>
      </x:c>
      <x:c r="R15" s="36" t="str">
        <x:v>8B 对象和并发适合 1TB 起步，先验证路径再做压力</x:v>
      </x:c>
      <x:c r="S15" s="36" t="str">
        <x:v>kv_summary.json、kv_trace.csv</x:v>
      </x:c>
      <x:c r="T15" s="36" t="str">
        <x:v>可运行</x:v>
      </x:c>
      <x:c r="U15" s="36" t="str">
        <x:v>可运行</x:v>
      </x:c>
      <x:c r="V15" s="72" t="str">
        <x:v>Not Started</x:v>
      </x:c>
      <x:c r="W15" s="36" t="str"/>
    </x:row>
    <x:row r="16" ht="86" customHeight="1">
      <x:c r="A16" s="71" t="str">
        <x:v>S2-VDB-01</x:v>
      </x:c>
      <x:c r="B16" s="36" t="str">
        <x:v>Docker Desktop + mlpstorage vectordb</x:v>
      </x:c>
      <x:c r="C16" s="36" t="str">
        <x:v>验证 Windows Docker/Milvus、写入、flush、load 和查询链路</x:v>
      </x:c>
      <x:c r="D16" s="36" t="str">
        <x:v>1. 启动 Milvus
2. 写入 1K/50K 向量
3. flush/build/load
4. 执行 30 s 查询
5. 检查 row count、QPS、Recall 和物理读写</x:v>
      </x:c>
      <x:c r="E16" s="36" t="str">
        <x:v>30–60 分钟</x:v>
      </x:c>
      <x:c r="F16" s="36" t="str">
        <x:v>docker compose -f docker-compose.win.yml up -d
mlpstorage vectordb run --dataset 1000 --index hnsw ...</x:v>
      </x:c>
      <x:c r="G16" s="36" t="str">
        <x:v>Milvus 未 ready、row count 不一致、Docker 数据路径未确认</x:v>
      </x:c>
      <x:c r="H16" s="36" t="str">
        <x:v>Stage 2</x:v>
      </x:c>
      <x:c r="I16" s="72" t="str">
        <x:v>P0</x:v>
      </x:c>
      <x:c r="J16" s="36" t="str">
        <x:v>VectorDB smoke</x:v>
      </x:c>
      <x:c r="K16" s="36" t="str">
        <x:v>P1/P2/P3</x:v>
      </x:c>
      <x:c r="L16" s="36" t="str">
        <x:v>1/2/4 TB</x:v>
      </x:c>
      <x:c r="M16" s="36" t="str">
        <x:v>32/64/128 GB</x:v>
      </x:c>
      <x:c r="N16" s="72" t="str">
        <x:v>Native</x:v>
      </x:c>
      <x:c r="O16" s="36" t="str">
        <x:v>Milvus 1K/50K，HNSW 或 DISKANN</x:v>
      </x:c>
      <x:c r="P16" s="36" t="str">
        <x:v>Milvus health、Docker VHDX、PhysicalDisk、CPU/RAM、QPS/P99</x:v>
      </x:c>
      <x:c r="Q16" s="36" t="str">
        <x:v>服务 ready；row count 正确；查询成功；结果目录齐全</x:v>
      </x:c>
      <x:c r="R16" s="36" t="str">
        <x:v>1K smoke 是 Windows 适配和 trace 链路的低风险入口</x:v>
      </x:c>
      <x:c r="S16" s="36" t="str">
        <x:v>milvus_health.json、vdb_summary.json</x:v>
      </x:c>
      <x:c r="T16" s="36" t="str">
        <x:v>可运行</x:v>
      </x:c>
      <x:c r="U16" s="36" t="str">
        <x:v>可运行</x:v>
      </x:c>
      <x:c r="V16" s="72" t="str">
        <x:v>Not Started</x:v>
      </x:c>
      <x:c r="W16" s="36" t="str"/>
    </x:row>
    <x:row r="17" ht="86" customHeight="1">
      <x:c r="A17" s="71" t="str">
        <x:v>S3-TRN-01</x:v>
      </x:c>
      <x:c r="B17" s="36" t="str">
        <x:v>mlpstorage training + DLIO</x:v>
      </x:c>
      <x:c r="C17" s="36" t="str">
        <x:v>评价持续读取带宽、AU 和 reader thread 扩展</x:v>
      </x:c>
      <x:c r="D17" s="36" t="str">
        <x:v>1. warm-up 1 次
2. 测量 3 次
3. 加速器模型 1/2/4
4. reader threads 1/4/8/16
5. P1/P2 使用 200/400 GiB scaled，P3 可扩大</x:v>
      </x:c>
      <x:c r="E17" s="36" t="str">
        <x:v>60–120 分钟</x:v>
      </x:c>
      <x:c r="F17" s="36" t="str">
        <x:v>mlpstorage training run --model unet3d --num-accelerators 1/2/4 --reader-threads 1/4/8/16 ...</x:v>
      </x:c>
      <x:c r="G17" s="36" t="str">
        <x:v>数据集不足却标 native、AU 无法解释、读量未命中 DUT</x:v>
      </x:c>
      <x:c r="H17" s="36" t="str">
        <x:v>Stage 3</x:v>
      </x:c>
      <x:c r="I17" s="72" t="str">
        <x:v>P1</x:v>
      </x:c>
      <x:c r="J17" s="36" t="str">
        <x:v>Training</x:v>
      </x:c>
      <x:c r="K17" s="36" t="str">
        <x:v>P1/P2/P3</x:v>
      </x:c>
      <x:c r="L17" s="36" t="str">
        <x:v>1/2/4 TB</x:v>
      </x:c>
      <x:c r="M17" s="36" t="str">
        <x:v>32/64/128 GB</x:v>
      </x:c>
      <x:c r="N17" s="72" t="str">
        <x:v>Hybrid</x:v>
      </x:c>
      <x:c r="O17" s="36" t="str">
        <x:v>T-Large：UNet3D 大文件</x:v>
      </x:c>
      <x:c r="P17" s="36" t="str">
        <x:v>吞吐、AU、PhysicalDisk bandwidth/queue、CPU/GPU、温度</x:v>
      </x:c>
      <x:c r="Q17" s="36" t="str">
        <x:v>AU ≥ 0.90；找出 SSD 饱和点；scaled 与 native 分开报告</x:v>
      </x:c>
      <x:c r="R17" s="36" t="str">
        <x:v>UNet3D 的大对象供给最能区分 SSD 带宽和计算间隔</x:v>
      </x:c>
      <x:c r="S17" s="36" t="str">
        <x:v>training_profile_TL.csv</x:v>
      </x:c>
      <x:c r="T17" s="36" t="str">
        <x:v>可运行</x:v>
      </x:c>
      <x:c r="U17" s="36" t="str">
        <x:v>可运行</x:v>
      </x:c>
      <x:c r="V17" s="72" t="str">
        <x:v>Not Started</x:v>
      </x:c>
      <x:c r="W17" s="36" t="str"/>
    </x:row>
    <x:row r="18" ht="86" customHeight="1">
      <x:c r="A18" s="71" t="str">
        <x:v>S3-TRN-02</x:v>
      </x:c>
      <x:c r="B18" s="36" t="str">
        <x:v>mlpstorage training + DLIO</x:v>
      </x:c>
      <x:c r="C18" s="36" t="str">
        <x:v>评价 metadata、IOPS 和小文件尾延迟</x:v>
      </x:c>
      <x:c r="D18" s="36" t="str">
        <x:v>1. 先 100K JPEG，再按容量扩展
2. 并发 1/2/4
3. reader threads 1/4/8
4. 每档 warm-up + 3 次测量</x:v>
      </x:c>
      <x:c r="E18" s="36" t="str">
        <x:v>60–120 分钟</x:v>
      </x:c>
      <x:c r="F18" s="36" t="str">
        <x:v>mlpstorage training run --model retinanet --num-processes 1 ...</x:v>
      </x:c>
      <x:c r="G18" s="36" t="str">
        <x:v>文件清单不完整、缓存命中无物理读、尾延迟无监控</x:v>
      </x:c>
      <x:c r="H18" s="36" t="str">
        <x:v>Stage 3</x:v>
      </x:c>
      <x:c r="I18" s="72" t="str">
        <x:v>P1</x:v>
      </x:c>
      <x:c r="J18" s="36" t="str">
        <x:v>Training</x:v>
      </x:c>
      <x:c r="K18" s="36" t="str">
        <x:v>P1/P2/P3</x:v>
      </x:c>
      <x:c r="L18" s="36" t="str">
        <x:v>1/2/4 TB</x:v>
      </x:c>
      <x:c r="M18" s="36" t="str">
        <x:v>32/64/128 GB</x:v>
      </x:c>
      <x:c r="N18" s="72" t="str">
        <x:v>Hybrid</x:v>
      </x:c>
      <x:c r="O18" s="36" t="str">
        <x:v>T-Small：RetinaNet 小文件</x:v>
      </x:c>
      <x:c r="P18" s="36" t="str">
        <x:v>文件打开/读 IOPS、P95/P99、CPU、queue、AU</x:v>
      </x:c>
      <x:c r="Q18" s="36" t="str">
        <x:v>AU ≥ 0.85；P99 稳定；并发增加不出现错误或明显数据缺失</x:v>
      </x:c>
      <x:c r="R18" s="36" t="str">
        <x:v>单文件约 315 KiB，能暴露本地数据集常见的小文件瓶颈</x:v>
      </x:c>
      <x:c r="S18" s="36" t="str">
        <x:v>training_profile_TS.csv</x:v>
      </x:c>
      <x:c r="T18" s="36" t="str">
        <x:v>可运行</x:v>
      </x:c>
      <x:c r="U18" s="36" t="str">
        <x:v>可运行</x:v>
      </x:c>
      <x:c r="V18" s="72" t="str">
        <x:v>Not Started</x:v>
      </x:c>
      <x:c r="W18" s="36" t="str"/>
    </x:row>
    <x:row r="19" ht="86" customHeight="1">
      <x:c r="A19" s="71" t="str">
        <x:v>S3-TRN-03</x:v>
      </x:c>
      <x:c r="B19" s="36" t="str">
        <x:v>mlpstorage training + DLIO</x:v>
      </x:c>
      <x:c r="C19" s="36" t="str">
        <x:v>评价中等对象、shuffle 和 batch 读取的混合行为</x:v>
      </x:c>
      <x:c r="D19" s="36" t="str">
        <x:v>1. 准备约 136.8 GiB 数据
2. 固定 batch 400
3. reader/computation threads 8
4. 对比 cold/warm</x:v>
      </x:c>
      <x:c r="E19" s="36" t="str">
        <x:v>45–90 分钟</x:v>
      </x:c>
      <x:c r="F19" s="36" t="str">
        <x:v>mlpstorage training run --model resnet50 --batch-size 400 --reader-threads 8 ...</x:v>
      </x:c>
      <x:c r="G19" s="36" t="str">
        <x:v>数据未落到 DUT、batch/threads 漂移、分页导致结果不可比</x:v>
      </x:c>
      <x:c r="H19" s="36" t="str">
        <x:v>Stage 3</x:v>
      </x:c>
      <x:c r="I19" s="72" t="str">
        <x:v>P1</x:v>
      </x:c>
      <x:c r="J19" s="36" t="str">
        <x:v>Training</x:v>
      </x:c>
      <x:c r="K19" s="36" t="str">
        <x:v>P1/P2/P3</x:v>
      </x:c>
      <x:c r="L19" s="36" t="str">
        <x:v>1/2/4 TB</x:v>
      </x:c>
      <x:c r="M19" s="36" t="str">
        <x:v>32/64/128 GB</x:v>
      </x:c>
      <x:c r="N19" s="72" t="str">
        <x:v>Native</x:v>
      </x:c>
      <x:c r="O19" s="36" t="str">
        <x:v>T-Medium：ResNet50 TFRecord</x:v>
      </x:c>
      <x:c r="P19" s="36" t="str">
        <x:v>TFRecord read bytes、吞吐、P99、CPU、RAM、paging</x:v>
      </x:c>
      <x:c r="Q19" s="36" t="str">
        <x:v>吞吐可重复；cold/warm 差异有证据；无数据缺失</x:v>
      </x:c>
      <x:c r="R19" s="36" t="str">
        <x:v>体量适中，可在 1TB/2TB native 实跑，补充 UNet/Retina 的数据形态</x:v>
      </x:c>
      <x:c r="S19" s="36" t="str">
        <x:v>training_profile_TM.csv</x:v>
      </x:c>
      <x:c r="T19" s="36" t="str">
        <x:v>可运行</x:v>
      </x:c>
      <x:c r="U19" s="36" t="str">
        <x:v>可运行</x:v>
      </x:c>
      <x:c r="V19" s="72" t="str">
        <x:v>Not Started</x:v>
      </x:c>
      <x:c r="W19" s="36" t="str"/>
    </x:row>
    <x:row r="20" ht="86" customHeight="1">
      <x:c r="A20" s="71" t="str">
        <x:v>S3-CKPT-01</x:v>
      </x:c>
      <x:c r="B20" s="36" t="str">
        <x:v>mlpstorage checkpointing</x:v>
      </x:c>
      <x:c r="C20" s="36" t="str">
        <x:v>评价大块写入、fsync、cold/warm restore 和重复 checkpoint 退化</x:v>
      </x:c>
      <x:c r="D20" s="36" t="str">
        <x:v>1. 1TB 采用单轮 write→cold read→删除
2. 2TB 至少 3 轮
3. 4TB 执行 10/10
4. 每轮归档 hash</x:v>
      </x:c>
      <x:c r="E20" s="36" t="str">
        <x:v>2–4 小时</x:v>
      </x:c>
      <x:c r="F20" s="36" t="str">
        <x:v>mlpstorage checkpointing run --model llama3-8b --num-checkpoints 1/3/10 --storage file ...</x:v>
      </x:c>
      <x:c r="G20" s="36" t="str">
        <x:v>容量门禁绕过、hash 不一致、无法区分 cold/warm</x:v>
      </x:c>
      <x:c r="H20" s="36" t="str">
        <x:v>Stage 3</x:v>
      </x:c>
      <x:c r="I20" s="72" t="str">
        <x:v>P1</x:v>
      </x:c>
      <x:c r="J20" s="36" t="str">
        <x:v>Checkpoint</x:v>
      </x:c>
      <x:c r="K20" s="36" t="str">
        <x:v>P1/P2/P3</x:v>
      </x:c>
      <x:c r="L20" s="36" t="str">
        <x:v>1/2/4 TB</x:v>
      </x:c>
      <x:c r="M20" s="36" t="str">
        <x:v>32/64/128 GB</x:v>
      </x:c>
      <x:c r="N20" s="72" t="str">
        <x:v>Native</x:v>
      </x:c>
      <x:c r="O20" s="36" t="str">
        <x:v>C-8B：1/3/10 次 write/read</x:v>
      </x:c>
      <x:c r="P20" s="36" t="str">
        <x:v>write/read bandwidth、fsync、P95、温度、可用空间</x:v>
      </x:c>
      <x:c r="Q20" s="36" t="str">
        <x:v>文件大小/hash 一致；连续 3 窗口吞吐下降不超过 10%，否则标记 GC/thermal cliff</x:v>
      </x:c>
      <x:c r="R20" s="36" t="str">
        <x:v>8B 约 105GB，是消费级 AI PC 最接近真实本地恢复的 checkpoint</x:v>
      </x:c>
      <x:c r="S20" s="36" t="str">
        <x:v>checkpoint_runs.csv、integrity.json</x:v>
      </x:c>
      <x:c r="T20" s="36" t="str">
        <x:v>单机多rank为Conditional</x:v>
      </x:c>
      <x:c r="U20" s="36" t="str">
        <x:v>可运行</x:v>
      </x:c>
      <x:c r="V20" s="72" t="str">
        <x:v>Not Started</x:v>
      </x:c>
      <x:c r="W20" s="36" t="str"/>
    </x:row>
    <x:row r="21" ht="86" customHeight="1">
      <x:c r="A21" s="71" t="str">
        <x:v>S3-CKPT-02</x:v>
      </x:c>
      <x:c r="B21" s="36" t="str">
        <x:v>mlpstorage checkpointing + Windows adapter</x:v>
      </x:c>
      <x:c r="C21" s="36" t="str">
        <x:v>覆盖更大模型分片和突发写入，不要求 912 GB full checkpoint</x:v>
      </x:c>
      <x:c r="D21" s="36" t="str">
        <x:v>1. 在 2/4TB 执行 1 轮
2. 4TB 可执行 3 轮
3. 记录 shard/optimizer shard 比例和恢复时间</x:v>
      </x:c>
      <x:c r="E21" s="36" t="str">
        <x:v>60–120 分钟</x:v>
      </x:c>
      <x:c r="F21" s="36" t="str">
        <x:v>mlpstorage checkpointing run --model llama3-70b --num-processes 8 --subset ...</x:v>
      </x:c>
      <x:c r="G21" s="36" t="str">
        <x:v>误称 full 70B、rank 不合法、容量/结果空间不足</x:v>
      </x:c>
      <x:c r="H21" s="36" t="str">
        <x:v>Stage 3</x:v>
      </x:c>
      <x:c r="I21" s="72" t="str">
        <x:v>P1</x:v>
      </x:c>
      <x:c r="J21" s="36" t="str">
        <x:v>Checkpoint</x:v>
      </x:c>
      <x:c r="K21" s="36" t="str">
        <x:v>P2/P3</x:v>
      </x:c>
      <x:c r="L21" s="36" t="str">
        <x:v>2/4 TB</x:v>
      </x:c>
      <x:c r="M21" s="36" t="str">
        <x:v>64/128 GB</x:v>
      </x:c>
      <x:c r="N21" s="72" t="str">
        <x:v>Hybrid</x:v>
      </x:c>
      <x:c r="O21" s="36" t="str">
        <x:v>C-70B-subset：8 ranks，约 114 GB</x:v>
      </x:c>
      <x:c r="P21" s="36" t="str">
        <x:v>shard write/read、PhysicalDisk、温度、CPU/RAM</x:v>
      </x:c>
      <x:c r="Q21" s="36" t="str">
        <x:v>subset 文件和 hash 正确；恢复退出码 0；native/scaled 标识清晰</x:v>
      </x:c>
      <x:c r="R21" s="36" t="str">
        <x:v>约 114GB subset 在 2TB/4TB 可执行，能观察分片形态而不把结果误作 full 规模</x:v>
      </x:c>
      <x:c r="S21" s="36" t="str">
        <x:v>checkpoint_70b_subset.json</x:v>
      </x:c>
      <x:c r="T21" s="36" t="str">
        <x:v>需可用8进程环境；否则Trace</x:v>
      </x:c>
      <x:c r="U21" s="36" t="str">
        <x:v>可运行</x:v>
      </x:c>
      <x:c r="V21" s="72" t="str">
        <x:v>Not Started</x:v>
      </x:c>
      <x:c r="W21" s="36" t="str"/>
    </x:row>
    <x:row r="22" ht="86" customHeight="1">
      <x:c r="A22" s="71" t="str">
        <x:v>S3-CKPT-03</x:v>
      </x:c>
      <x:c r="B22" s="36" t="str">
        <x:v>mlpstorage checkpointing + PowerShell monitor</x:v>
      </x:c>
      <x:c r="C22" s="36" t="str">
        <x:v>评价连续 checkpoint 间隔、后台 GC 和后续恢复退化</x:v>
      </x:c>
      <x:c r="D22" s="36" t="str">
        <x:v>1. 固定 8B 或 70B subset
2. 按 5/30/300s 间隔重复
3. 比较第 1、3、10 轮延迟和温度</x:v>
      </x:c>
      <x:c r="E22" s="36" t="str">
        <x:v>90–180 分钟</x:v>
      </x:c>
      <x:c r="F22" s="36" t="str">
        <x:v>for ($i=1; $i -le 10; $i++) { mlpstorage checkpointing run ...; Start-Sleep -Seconds 30 }</x:v>
      </x:c>
      <x:c r="G22" s="36" t="str">
        <x:v>后台任务未记录、间隔漂移、删除/清理影响未标注</x:v>
      </x:c>
      <x:c r="H22" s="36" t="str">
        <x:v>Stage 3</x:v>
      </x:c>
      <x:c r="I22" s="72" t="str">
        <x:v>P1</x:v>
      </x:c>
      <x:c r="J22" s="36" t="str">
        <x:v>Checkpoint</x:v>
      </x:c>
      <x:c r="K22" s="36" t="str">
        <x:v>P2/P3</x:v>
      </x:c>
      <x:c r="L22" s="36" t="str">
        <x:v>2/4 TB</x:v>
      </x:c>
      <x:c r="M22" s="36" t="str">
        <x:v>64/128 GB</x:v>
      </x:c>
      <x:c r="N22" s="72" t="str">
        <x:v>Hybrid</x:v>
      </x:c>
      <x:c r="O22" s="36" t="str">
        <x:v>C-Burst：间隔 5/30/300 s</x:v>
      </x:c>
      <x:c r="P22" s="36" t="str">
        <x:v>write P99、温度、queue、可用空间、Windows 事件</x:v>
      </x:c>
      <x:c r="Q22" s="36" t="str">
        <x:v>不同间隔下无错误；若后半程吞吐下降&gt;10%，输出 cliff 和恢复时间</x:v>
      </x:c>
      <x:c r="R22" s="36" t="str">
        <x:v>消费级 SSD 的 SLC/GC 行为常在连续 checkpoint 中暴露</x:v>
      </x:c>
      <x:c r="S22" s="36" t="str">
        <x:v>checkpoint_burst.csv</x:v>
      </x:c>
      <x:c r="T22" s="36" t="str">
        <x:v>可运行</x:v>
      </x:c>
      <x:c r="U22" s="36" t="str">
        <x:v>可运行</x:v>
      </x:c>
      <x:c r="V22" s="72" t="str">
        <x:v>Not Started</x:v>
      </x:c>
      <x:c r="W22" s="36" t="str"/>
    </x:row>
    <x:row r="23" ht="86" customHeight="1">
      <x:c r="A23" s="71" t="str">
        <x:v>S3-KV-01</x:v>
      </x:c>
      <x:c r="B23" s="36" t="str">
        <x:v>mlpstorage kvcache + standalone trace</x:v>
      </x:c>
      <x:c r="C23" s="36" t="str">
        <x:v>测量 NVMe-only KV 的并发读写、token 吞吐和尾延迟</x:v>
      </x:c>
      <x:c r="D23" s="36" t="str">
        <x:v>1. 固定 seed=42、duration=300s
2. users 25/50/100
3. generation none
4. 3–5 trials
5. 确认 Tier-2 bytes</x:v>
      </x:c>
      <x:c r="E23" s="36" t="str">
        <x:v>45–90 分钟</x:v>
      </x:c>
      <x:c r="F23" s="36" t="str">
        <x:v>mlpstorage kvcache run --model llama3.1-8b --gpu-tier 0 --cpu-tier 0 --users 25/50/100 --duration 300</x:v>
      </x:c>
      <x:c r="G23" s="36" t="str">
        <x:v>Tier-2=0、只产生逻辑 trace、请求生成器成为瓶颈且未说明</x:v>
      </x:c>
      <x:c r="H23" s="36" t="str">
        <x:v>Stage 3</x:v>
      </x:c>
      <x:c r="I23" s="72" t="str">
        <x:v>P1</x:v>
      </x:c>
      <x:c r="J23" s="36" t="str">
        <x:v>KV Cache</x:v>
      </x:c>
      <x:c r="K23" s="36" t="str">
        <x:v>P1/P2/P3</x:v>
      </x:c>
      <x:c r="L23" s="36" t="str">
        <x:v>1/2/4 TB</x:v>
      </x:c>
      <x:c r="M23" s="36" t="str">
        <x:v>32/64/128 GB</x:v>
      </x:c>
      <x:c r="N23" s="72" t="str">
        <x:v>Native</x:v>
      </x:c>
      <x:c r="O23" s="36" t="str">
        <x:v>K-NVMe：8B，GPU/CPU tier=0，users 25/50/100</x:v>
      </x:c>
      <x:c r="P23" s="36" t="str">
        <x:v>tokens/s、Tier-2 bytes、P95/P99/P99.9/P99.99、PhysicalDisk</x:v>
      </x:c>
      <x:c r="Q23" s="36" t="str">
        <x:v>Tier-2 bytes&gt;0；P99 可复现；无 eviction/I/O error；结果按并发分层</x:v>
      </x:c>
      <x:c r="R23" s="36" t="str">
        <x:v>对应仓库固定 Option 1，最直接地反映 SSD 读写和小对象并发</x:v>
      </x:c>
      <x:c r="S23" s="36" t="str">
        <x:v>kv_K1_summary.json、io_trace.csv</x:v>
      </x:c>
      <x:c r="T23" s="36" t="str">
        <x:v>可运行</x:v>
      </x:c>
      <x:c r="U23" s="36" t="str">
        <x:v>可运行</x:v>
      </x:c>
      <x:c r="V23" s="72" t="str">
        <x:v>Not Started</x:v>
      </x:c>
      <x:c r="W23" s="36" t="str"/>
    </x:row>
    <x:row r="24" ht="86" customHeight="1">
      <x:c r="A24" s="71" t="str">
        <x:v>S3-KV-02</x:v>
      </x:c>
      <x:c r="B24" s="36" t="str">
        <x:v>mlpstorage kvcache</x:v>
      </x:c>
      <x:c r="C24" s="36" t="str">
        <x:v>定位 CPU RAM 耗尽后 spill 到 NVMe 的拐点和尾延迟</x:v>
      </x:c>
      <x:c r="D24" s="36" t="str">
        <x:v>1. users 25/50/100
2. CPU tier 4GiB
3. 固定 max allocations=16
4. 比较 spill 前后 P95/P99</x:v>
      </x:c>
      <x:c r="E24" s="36" t="str">
        <x:v>45–90 分钟</x:v>
      </x:c>
      <x:c r="F24" s="36" t="str">
        <x:v>mlpstorage kvcache run --model llama3.1-8b --cpu-tier 4 --max-allocations 16 --users 25/50/100 ...</x:v>
      </x:c>
      <x:c r="G24" s="36" t="str">
        <x:v>paging 未监控、Tier-2 未增长、CPU tier 配置未生效</x:v>
      </x:c>
      <x:c r="H24" s="36" t="str">
        <x:v>Stage 3</x:v>
      </x:c>
      <x:c r="I24" s="72" t="str">
        <x:v>P1</x:v>
      </x:c>
      <x:c r="J24" s="36" t="str">
        <x:v>KV Cache</x:v>
      </x:c>
      <x:c r="K24" s="36" t="str">
        <x:v>P1/P2/P3</x:v>
      </x:c>
      <x:c r="L24" s="36" t="str">
        <x:v>1/2/4 TB</x:v>
      </x:c>
      <x:c r="M24" s="36" t="str">
        <x:v>32/64/128 GB</x:v>
      </x:c>
      <x:c r="N24" s="72" t="str">
        <x:v>Native</x:v>
      </x:c>
      <x:c r="O24" s="36" t="str">
        <x:v>K-CPU-spill：8B，CPU tier=4 GiB，alloc=16</x:v>
      </x:c>
      <x:c r="P24" s="36" t="str">
        <x:v>CPU/RAM、paging、Tier-1/2 bytes、P99、queue</x:v>
      </x:c>
      <x:c r="Q24" s="36" t="str">
        <x:v>spill 事件可解释；Tier-2 bytes 增长；无异常 eviction 或数据丢失</x:v>
      </x:c>
      <x:c r="R24" s="36" t="str">
        <x:v>对应固定 Option 2，贴近 AI PC 内存不足时的实际 offload</x:v>
      </x:c>
      <x:c r="S24" s="36" t="str">
        <x:v>kv_K2_summary.json</x:v>
      </x:c>
      <x:c r="T24" s="36" t="str">
        <x:v>可运行</x:v>
      </x:c>
      <x:c r="U24" s="36" t="str">
        <x:v>可运行</x:v>
      </x:c>
      <x:c r="V24" s="72" t="str">
        <x:v>Not Started</x:v>
      </x:c>
      <x:c r="W24" s="36" t="str"/>
    </x:row>
    <x:row r="25" ht="86" customHeight="1">
      <x:c r="A25" s="71" t="str">
        <x:v>S3-KV-03</x:v>
      </x:c>
      <x:c r="B25" s="36" t="str">
        <x:v>kv_cache_benchmark --io-trace-log + replay</x:v>
      </x:c>
      <x:c r="C25" s="36" t="str">
        <x:v>将无法在消费级 AI PC 完整承载的大对象压力转化为可复现 SSD trace</x:v>
      </x:c>
      <x:c r="D25" s="36" t="str">
        <x:v>1. 先录制 Tier-2 逻辑事件
2. 过滤 Tier-2
3. 按 1x/2x/4x 回放
4. 真实 KV 与 replay 分开报告</x:v>
      </x:c>
      <x:c r="E25" s="36" t="str">
        <x:v>60–120 分钟</x:v>
      </x:c>
      <x:c r="F25" s="36" t="str">
        <x:v>python -m kv_cache.cli --model llama3.1-70b-instruct --io-trace-log kv_trace.csv ...
python replay_trace.py --trace kv_trace.csv --scale 1,2,4</x:v>
      </x:c>
      <x:c r="G25" s="36" t="str">
        <x:v>把 replay 当作真实模型成绩、trace 不含 Tier-2、回放未命中 DUT</x:v>
      </x:c>
      <x:c r="H25" s="36" t="str">
        <x:v>Stage 3</x:v>
      </x:c>
      <x:c r="I25" s="72" t="str">
        <x:v>P1</x:v>
      </x:c>
      <x:c r="J25" s="36" t="str">
        <x:v>KV Cache</x:v>
      </x:c>
      <x:c r="K25" s="36" t="str">
        <x:v>P2/P3</x:v>
      </x:c>
      <x:c r="L25" s="36" t="str">
        <x:v>2/4 TB</x:v>
      </x:c>
      <x:c r="M25" s="36" t="str">
        <x:v>64/128 GB</x:v>
      </x:c>
      <x:c r="N25" s="72" t="str">
        <x:v>Hybrid</x:v>
      </x:c>
      <x:c r="O25" s="36" t="str">
        <x:v>K-Trace-large：70B/32B/120B 对象</x:v>
      </x:c>
      <x:c r="P25" s="36" t="str">
        <x:v>trace 时间戳、对象大小、Tier、PhysicalDisk、P99</x:v>
      </x:c>
      <x:c r="Q25" s="36" t="str">
        <x:v>trace 字段完整；回放节奏误差可解释；输出 1x/2x/4x 曲线</x:v>
      </x:c>
      <x:c r="R25" s="36" t="str">
        <x:v>70B/120B 大对象可隔离对象大小因素，避免模型计算和 SSD 结果耦合</x:v>
      </x:c>
      <x:c r="S25" s="36" t="str">
        <x:v>kv_large_trace.csv、replay_summary.json</x:v>
      </x:c>
      <x:c r="T25" s="36" t="str">
        <x:v>可运行；结论标Trace</x:v>
      </x:c>
      <x:c r="U25" s="36" t="str">
        <x:v>可运行</x:v>
      </x:c>
      <x:c r="V25" s="72" t="str">
        <x:v>Not Started</x:v>
      </x:c>
      <x:c r="W25" s="36" t="str"/>
    </x:row>
    <x:row r="26" ht="86" customHeight="1">
      <x:c r="A26" s="71" t="str">
        <x:v>S3-VDB-01</x:v>
      </x:c>
      <x:c r="B26" s="36" t="str">
        <x:v>Milvus + enhanced_bench</x:v>
      </x:c>
      <x:c r="C26" s="36" t="str">
        <x:v>形成本地 RAG 的 QPS、Recall 和 P99 基线</x:v>
      </x:c>
      <x:c r="D26" s="36" t="str">
        <x:v>1. 分别 build/load
2. 同一 query set
3. top-k 10/100
4. query processes 1/2/4
5. 固定 Recall 门槛后比较 QPS/P99</x:v>
      </x:c>
      <x:c r="E26" s="36" t="str">
        <x:v>2–4 小时</x:v>
      </x:c>
      <x:c r="F26" s="36" t="str">
        <x:v>mlpstorage vectordb run --dataset 1m --dim 1536 --index hnsw,diskann ...</x:v>
      </x:c>
      <x:c r="G26" s="36" t="str">
        <x:v>Recall 未锁定、row count 不一致、索引未 load 就开始计时</x:v>
      </x:c>
      <x:c r="H26" s="36" t="str">
        <x:v>Stage 3</x:v>
      </x:c>
      <x:c r="I26" s="72" t="str">
        <x:v>P1</x:v>
      </x:c>
      <x:c r="J26" s="36" t="str">
        <x:v>VectorDB</x:v>
      </x:c>
      <x:c r="K26" s="36" t="str">
        <x:v>P1/P2/P3</x:v>
      </x:c>
      <x:c r="L26" s="36" t="str">
        <x:v>1/2/4 TB</x:v>
      </x:c>
      <x:c r="M26" s="36" t="str">
        <x:v>32/64/128 GB</x:v>
      </x:c>
      <x:c r="N26" s="72" t="str">
        <x:v>Native</x:v>
      </x:c>
      <x:c r="O26" s="36" t="str">
        <x:v>V-1M：1M×1536，HNSW + DISKANN</x:v>
      </x:c>
      <x:c r="P26" s="36" t="str">
        <x:v>Milvus health、index build、flush/compact、PhysicalDisk、RAM</x:v>
      </x:c>
      <x:c r="Q26" s="36" t="str">
        <x:v>Recall@K≥0.95 或项目门槛；QPS/P99 可重复；row count 正确</x:v>
      </x:c>
      <x:c r="R26" s="36" t="str">
        <x:v>1M 规模适合 1TB/2TB，HNSW/DISKANN 对比覆盖内存型和磁盘型 ANN</x:v>
      </x:c>
      <x:c r="S26" s="36" t="str">
        <x:v>vdb_1m_summary.json、recall.csv</x:v>
      </x:c>
      <x:c r="T26" s="36" t="str">
        <x:v>可运行；1TB容量需门禁</x:v>
      </x:c>
      <x:c r="U26" s="36" t="str">
        <x:v>可运行</x:v>
      </x:c>
      <x:c r="V26" s="72" t="str">
        <x:v>Not Started</x:v>
      </x:c>
      <x:c r="W26" s="36" t="str"/>
    </x:row>
    <x:row r="27" ht="86" customHeight="1">
      <x:c r="A27" s="71" t="str">
        <x:v>S3-VDB-02</x:v>
      </x:c>
      <x:c r="B27" s="36" t="str">
        <x:v>Milvus + compact_and_watch</x:v>
      </x:c>
      <x:c r="C27" s="36" t="str">
        <x:v>评价大索引、load、compaction 和持续搜索的后台 I/O</x:v>
      </x:c>
      <x:c r="D27" s="36" t="str">
        <x:v>1. P3 执行 10M
2. P2 执行 5M scaled
3. 分阶段计时 ingest/flush/build/load/search
4. 固定 Recall</x:v>
      </x:c>
      <x:c r="E27" s="36" t="str">
        <x:v>4–8 小时</x:v>
      </x:c>
      <x:c r="F27" s="36" t="str">
        <x:v>mlpstorage vectordb run --dataset 10m --dim 1536 --index diskann ...</x:v>
      </x:c>
      <x:c r="G27" s="36" t="str">
        <x:v>Docker 内存不足、容量门禁不通过、compact 失败却继续计分</x:v>
      </x:c>
      <x:c r="H27" s="36" t="str">
        <x:v>Stage 3</x:v>
      </x:c>
      <x:c r="I27" s="72" t="str">
        <x:v>P1</x:v>
      </x:c>
      <x:c r="J27" s="36" t="str">
        <x:v>VectorDB</x:v>
      </x:c>
      <x:c r="K27" s="36" t="str">
        <x:v>P2/P3</x:v>
      </x:c>
      <x:c r="L27" s="36" t="str">
        <x:v>2/4 TB</x:v>
      </x:c>
      <x:c r="M27" s="36" t="str">
        <x:v>64/128 GB</x:v>
      </x:c>
      <x:c r="N27" s="72" t="str">
        <x:v>Hybrid</x:v>
      </x:c>
      <x:c r="O27" s="36" t="str">
        <x:v>V-10M：10M×1536，DISKANN；P2用5M scaled</x:v>
      </x:c>
      <x:c r="P27" s="36" t="str">
        <x:v>index build/compact、PhysicalDisk、Docker RAM、温度、QPS/P99</x:v>
      </x:c>
      <x:c r="Q27" s="36" t="str">
        <x:v>Recall 达标；row count 正确；后台吞吐和前台 P99 分开报告</x:v>
      </x:c>
      <x:c r="R27" s="36" t="str">
        <x:v>10M 只在 4TB/128GB 级别合理；5M scaled 保留趋势而不伪装 full</x:v>
      </x:c>
      <x:c r="S27" s="36" t="str">
        <x:v>vdb_10m_summary.json、compact_watch.csv</x:v>
      </x:c>
      <x:c r="T27" s="36" t="str">
        <x:v>P2 scaled；P3 native</x:v>
      </x:c>
      <x:c r="U27" s="36" t="str">
        <x:v>可运行</x:v>
      </x:c>
      <x:c r="V27" s="72" t="str">
        <x:v>Not Started</x:v>
      </x:c>
      <x:c r="W27" s="36" t="str"/>
    </x:row>
    <x:row r="28" ht="86" customHeight="1">
      <x:c r="A28" s="71" t="str">
        <x:v>S4-MIX-01</x:v>
      </x:c>
      <x:c r="B28" s="36" t="str">
        <x:v>KV benchmark + checkpoint + PowerShell</x:v>
      </x:c>
      <x:c r="C28" s="36" t="str">
        <x:v>验证前台推理尾延迟受到后台大块写入时的 QoS</x:v>
      </x:c>
      <x:c r="D28" s="36" t="str">
        <x:v>1. 先测 KV solo
2. 再加入后台 checkpoint
3. 后台负载 50%/75%/100%
4. 比较前台 P99/P99.9</x:v>
      </x:c>
      <x:c r="E28" s="36" t="str">
        <x:v>60–120 分钟</x:v>
      </x:c>
      <x:c r="F28" s="36" t="str">
        <x:v>Start-Job { mlpstorage checkpointing run ... }
mlpstorage kvcache run --decode-only ...</x:v>
      </x:c>
      <x:c r="G28" s="36" t="str">
        <x:v>前台 trace 未完整、后台写入未命中 DUT、温度/queue 无解释</x:v>
      </x:c>
      <x:c r="H28" s="36" t="str">
        <x:v>Stage 4</x:v>
      </x:c>
      <x:c r="I28" s="72" t="str">
        <x:v>P1</x:v>
      </x:c>
      <x:c r="J28" s="36" t="str">
        <x:v>混合负载</x:v>
      </x:c>
      <x:c r="K28" s="36" t="str">
        <x:v>P2/P3</x:v>
      </x:c>
      <x:c r="L28" s="36" t="str">
        <x:v>2/4 TB</x:v>
      </x:c>
      <x:c r="M28" s="36" t="str">
        <x:v>64/128 GB</x:v>
      </x:c>
      <x:c r="N28" s="72" t="str">
        <x:v>Hybrid</x:v>
      </x:c>
      <x:c r="O28" s="36" t="str">
        <x:v>KV decode + Checkpoint write</x:v>
      </x:c>
      <x:c r="P28" s="36" t="str">
        <x:v>前台 P99/P99.9、后台吞吐、queue、温度、CPU/RAM</x:v>
      </x:c>
      <x:c r="Q28" s="36" t="str">
        <x:v>前台 P99 ≤ solo 1.5×；后台吞吐 ≥ solo 80%；无错误/eviction</x:v>
      </x:c>
      <x:c r="R28" s="36" t="str">
        <x:v>这是 AI PC 日常共存的首要组合，直接观察 SSD 争用和尾延迟</x:v>
      </x:c>
      <x:c r="S28" s="36" t="str">
        <x:v>mix_KV_CKPT.csv</x:v>
      </x:c>
      <x:c r="T28" s="36" t="str">
        <x:v>需进程并发；P1可缩短</x:v>
      </x:c>
      <x:c r="U28" s="36" t="str">
        <x:v>可运行</x:v>
      </x:c>
      <x:c r="V28" s="72" t="str">
        <x:v>Not Started</x:v>
      </x:c>
      <x:c r="W28" s="36" t="str"/>
    </x:row>
    <x:row r="29" ht="86" customHeight="1">
      <x:c r="A29" s="71" t="str">
        <x:v>S4-MIX-02</x:v>
      </x:c>
      <x:c r="B29" s="36" t="str">
        <x:v>Milvus + enhanced_bench</x:v>
      </x:c>
      <x:c r="C29" s="36" t="str">
        <x:v>验证 RAG 查询在后台写入和 compaction 时的稳定性</x:v>
      </x:c>
      <x:c r="D29" s="36" t="str">
        <x:v>1. 先 search solo
2. 后台持续 ingest/flush/compact
3. 前后台阶梯 50%/75%/100%
4. 检查 Recall 与 P99</x:v>
      </x:c>
      <x:c r="E29" s="36" t="str">
        <x:v>60–120 分钟</x:v>
      </x:c>
      <x:c r="F29" s="36" t="str">
        <x:v>python -m vdbbench.enhanced_bench --search-only ...
python -m vdbbench.compact_and_watch ...</x:v>
      </x:c>
      <x:c r="G29" s="36" t="str">
        <x:v>Milvus 重启、Recall 未测、后台任务没有物理写入证据</x:v>
      </x:c>
      <x:c r="H29" s="36" t="str">
        <x:v>Stage 4</x:v>
      </x:c>
      <x:c r="I29" s="72" t="str">
        <x:v>P1</x:v>
      </x:c>
      <x:c r="J29" s="36" t="str">
        <x:v>混合负载</x:v>
      </x:c>
      <x:c r="K29" s="36" t="str">
        <x:v>P2/P3</x:v>
      </x:c>
      <x:c r="L29" s="36" t="str">
        <x:v>2/4 TB</x:v>
      </x:c>
      <x:c r="M29" s="36" t="str">
        <x:v>64/128 GB</x:v>
      </x:c>
      <x:c r="N29" s="72" t="str">
        <x:v>Native</x:v>
      </x:c>
      <x:c r="O29" s="36" t="str">
        <x:v>VDB search + ingest/compact</x:v>
      </x:c>
      <x:c r="P29" s="36" t="str">
        <x:v>Recall、QPS、P99、Milvus health、PhysicalDisk、Docker RAM</x:v>
      </x:c>
      <x:c r="Q29" s="36" t="str">
        <x:v>Recall 下降≤1个百分点；前台 P99≤solo 1.5×；后台吞吐≥80%</x:v>
      </x:c>
      <x:c r="R29" s="36" t="str">
        <x:v>本地 RAG 最常见的前台查询+后台维护组合</x:v>
      </x:c>
      <x:c r="S29" s="36" t="str">
        <x:v>mix_VDB_ingest.csv</x:v>
      </x:c>
      <x:c r="T29" s="36" t="str">
        <x:v>可运行</x:v>
      </x:c>
      <x:c r="U29" s="36" t="str">
        <x:v>可运行</x:v>
      </x:c>
      <x:c r="V29" s="72" t="str">
        <x:v>Not Started</x:v>
      </x:c>
      <x:c r="W29" s="36" t="str"/>
    </x:row>
    <x:row r="30" ht="86" customHeight="1">
      <x:c r="A30" s="71" t="str">
        <x:v>S4-MIX-03</x:v>
      </x:c>
      <x:c r="B30" s="36" t="str">
        <x:v>DLIO + checkpoint + PowerShell</x:v>
      </x:c>
      <x:c r="C30" s="36" t="str">
        <x:v>评价本地训练读取与保存模型同时发生时的带宽和尾延迟</x:v>
      </x:c>
      <x:c r="D30" s="36" t="str">
        <x:v>1. Training solo 1 次
2. 后台 checkpoint 50%/75%/100%
3. 比较 AU/吞吐和写入完成时间</x:v>
      </x:c>
      <x:c r="E30" s="36" t="str">
        <x:v>60–120 分钟</x:v>
      </x:c>
      <x:c r="F30" s="36" t="str">
        <x:v>Start-Job { mlpstorage checkpointing run ... }
mlpstorage training run --model unet3d ...</x:v>
      </x:c>
      <x:c r="G30" s="36" t="str">
        <x:v>数据/结果路径重叠、后台写入失败、AU 变化无监控</x:v>
      </x:c>
      <x:c r="H30" s="36" t="str">
        <x:v>Stage 4</x:v>
      </x:c>
      <x:c r="I30" s="72" t="str">
        <x:v>P1</x:v>
      </x:c>
      <x:c r="J30" s="36" t="str">
        <x:v>混合负载</x:v>
      </x:c>
      <x:c r="K30" s="36" t="str">
        <x:v>P2/P3</x:v>
      </x:c>
      <x:c r="L30" s="36" t="str">
        <x:v>2/4 TB</x:v>
      </x:c>
      <x:c r="M30" s="36" t="str">
        <x:v>64/128 GB</x:v>
      </x:c>
      <x:c r="N30" s="72" t="str">
        <x:v>Hybrid</x:v>
      </x:c>
      <x:c r="O30" s="36" t="str">
        <x:v>Training read + Checkpoint write</x:v>
      </x:c>
      <x:c r="P30" s="36" t="str">
        <x:v>AU、training throughput、checkpoint duration、queue、温度</x:v>
      </x:c>
      <x:c r="Q30" s="36" t="str">
        <x:v>AU 下降≤10%；checkpoint 完成且 hash 正确；无 I/O error</x:v>
      </x:c>
      <x:c r="R30" s="36" t="str">
        <x:v>代表本地微调/保存检查点的常见共存模式</x:v>
      </x:c>
      <x:c r="S30" s="36" t="str">
        <x:v>mix_TRN_CKPT.csv</x:v>
      </x:c>
      <x:c r="T30" s="36" t="str">
        <x:v>可运行；1TB建议不做</x:v>
      </x:c>
      <x:c r="U30" s="36" t="str">
        <x:v>可运行</x:v>
      </x:c>
      <x:c r="V30" s="72" t="str">
        <x:v>Not Started</x:v>
      </x:c>
      <x:c r="W30" s="36" t="str"/>
    </x:row>
    <x:row r="31" ht="86" customHeight="1">
      <x:c r="A31" s="71" t="str">
        <x:v>S5-SOAK-01</x:v>
      </x:c>
      <x:c r="B31" s="36" t="str">
        <x:v>replay.py + PowerShell monitor</x:v>
      </x:c>
      <x:c r="C31" s="36" t="str">
        <x:v>暴露高占用、SLC 耗尽、GC 和温度对 AI workload 的影响</x:v>
      </x:c>
      <x:c r="D31" s="36" t="str">
        <x:v>1. 每个占用档位执行固定短 workload
2. 连续 3 个窗口比较吞吐和 P99
3. 记录降速及恢复时间</x:v>
      </x:c>
      <x:c r="E31" s="36" t="str">
        <x:v>1TB 2–4h；2TB 4–8h；4TB 8h起</x:v>
      </x:c>
      <x:c r="F31" s="36" t="str">
        <x:v>python -m vdbbench.replay --trace trace.csv ...
Get-Counter ...</x:v>
      </x:c>
      <x:c r="G31" s="36" t="str">
        <x:v>未保留空间、无温度/事件、长时间过程中断未记录</x:v>
      </x:c>
      <x:c r="H31" s="36" t="str">
        <x:v>Stage 5</x:v>
      </x:c>
      <x:c r="I31" s="72" t="str">
        <x:v>P1</x:v>
      </x:c>
      <x:c r="J31" s="36" t="str">
        <x:v>热稳定性/高占用</x:v>
      </x:c>
      <x:c r="K31" s="36" t="str">
        <x:v>P1/P2/P3</x:v>
      </x:c>
      <x:c r="L31" s="36" t="str">
        <x:v>1/2/4 TB</x:v>
      </x:c>
      <x:c r="M31" s="36" t="str">
        <x:v>32/64/128 GB</x:v>
      </x:c>
      <x:c r="N31" s="72" t="str">
        <x:v>Hybrid</x:v>
      </x:c>
      <x:c r="O31" s="36" t="str">
        <x:v>50%/80%/90% fill + KV/CKPT/VDB 短压</x:v>
      </x:c>
      <x:c r="P31" s="36" t="str">
        <x:v>温度、throttle、P99、queue、可用空间、WHEA/StorPort</x:v>
      </x:c>
      <x:c r="Q31" s="36" t="str">
        <x:v>无数据损坏/持续错误；下降&gt;10%时标记 cliff；恢复时间有记录</x:v>
      </x:c>
      <x:c r="R31" s="36" t="str">
        <x:v>短时高占用先识别风险，再决定是否进行长 soak</x:v>
      </x:c>
      <x:c r="S31" s="36" t="str">
        <x:v>soak_fill_thermal.csv</x:v>
      </x:c>
      <x:c r="T31" s="36" t="str">
        <x:v>可运行；90%仅敏感性</x:v>
      </x:c>
      <x:c r="U31" s="36" t="str">
        <x:v>可运行</x:v>
      </x:c>
      <x:c r="V31" s="72" t="str">
        <x:v>Not Started</x:v>
      </x:c>
      <x:c r="W31" s="36" t="str"/>
    </x:row>
    <x:row r="32" ht="86" customHeight="1">
      <x:c r="A32" s="71" t="str">
        <x:v>S5-SOAK-02</x:v>
      </x:c>
      <x:c r="B32" s="36" t="str">
        <x:v>KV + checkpoint + Milvus</x:v>
      </x:c>
      <x:c r="C32" s="36" t="str">
        <x:v>验证多小时混合负载下的错误、热稳定性和性能漂移</x:v>
      </x:c>
      <x:c r="D32" s="36" t="str">
        <x:v>1. Stage 3/4 通过后执行
2. 2TB 4–8h，4TB 8–24h
3. 每小时归档窗口指标</x:v>
      </x:c>
      <x:c r="E32" s="36" t="str">
        <x:v>2TB 4–8h；4TB 8–24h</x:v>
      </x:c>
      <x:c r="F32" s="36" t="str">
        <x:v>Start-Job { mlpstorage kvcache run ... }
Start-Job { mlpstorage checkpointing run ... }</x:v>
      </x:c>
      <x:c r="G32" s="36" t="str">
        <x:v>未通过前置阶段、后台更新/Defender干扰未记录、结果目录污染</x:v>
      </x:c>
      <x:c r="H32" s="36" t="str">
        <x:v>Stage 5</x:v>
      </x:c>
      <x:c r="I32" s="72" t="str">
        <x:v>P1</x:v>
      </x:c>
      <x:c r="J32" s="36" t="str">
        <x:v>长时间稳定性</x:v>
      </x:c>
      <x:c r="K32" s="36" t="str">
        <x:v>P2/P3</x:v>
      </x:c>
      <x:c r="L32" s="36" t="str">
        <x:v>2/4 TB</x:v>
      </x:c>
      <x:c r="M32" s="36" t="str">
        <x:v>64/128 GB</x:v>
      </x:c>
      <x:c r="N32" s="72" t="str">
        <x:v>Hybrid</x:v>
      </x:c>
      <x:c r="O32" s="36" t="str">
        <x:v>KV precondition + 8B checkpoint + VDB ingest</x:v>
      </x:c>
      <x:c r="P32" s="36" t="str">
        <x:v>窗口吞吐/P99、温度、queue、空间、Docker health、事件日志</x:v>
      </x:c>
      <x:c r="Q32" s="36" t="str">
        <x:v>无数据损坏/重启/持续错误；漂移可解释；恢复后性能偏差≤10%</x:v>
      </x:c>
      <x:c r="R32" s="36" t="str">
        <x:v>长时间 case 只在路径和基线稳定后执行，避免无效消耗 TBW</x:v>
      </x:c>
      <x:c r="S32" s="36" t="str">
        <x:v>soak_hourly.csv、events.evtx</x:v>
      </x:c>
      <x:c r="T32" s="36" t="str">
        <x:v>可运行；非首轮必测</x:v>
      </x:c>
      <x:c r="U32" s="36" t="str">
        <x:v>可运行</x:v>
      </x:c>
      <x:c r="V32" s="72" t="str">
        <x:v>Not Started</x:v>
      </x:c>
      <x:c r="W32" s="36" t="str"/>
    </x:row>
    <x:row r="33" ht="86" customHeight="1">
      <x:c r="A33" s="71" t="str">
        <x:v>S6-REC-01</x:v>
      </x:c>
      <x:c r="B33" s="36" t="str">
        <x:v>PowerShell + 四类 workload smoke</x:v>
      </x:c>
      <x:c r="C33" s="36" t="str">
        <x:v>验证系统或容器重启后业务能够恢复，且不会遗留脏数据</x:v>
      </x:c>
      <x:c r="D33" s="36" t="str">
        <x:v>1. 分别执行应用重启、Windows reboot-cold、Docker/Milvus restart
2. 重跑 Stage 2 最小 smoke</x:v>
      </x:c>
      <x:c r="E33" s="36" t="str">
        <x:v>45–90 分钟</x:v>
      </x:c>
      <x:c r="F33" s="36" t="str">
        <x:v>Restart-Computer
docker compose restart
mlpstorage validate ...</x:v>
      </x:c>
      <x:c r="G33" s="36" t="str">
        <x:v>孤儿文件、Milvus row count 变化、KV cache 无法清理、启动失败</x:v>
      </x:c>
      <x:c r="H33" s="36" t="str">
        <x:v>Stage 6</x:v>
      </x:c>
      <x:c r="I33" s="72" t="str">
        <x:v>P0</x:v>
      </x:c>
      <x:c r="J33" s="36" t="str">
        <x:v>恢复</x:v>
      </x:c>
      <x:c r="K33" s="36" t="str">
        <x:v>P1/P2/P3</x:v>
      </x:c>
      <x:c r="L33" s="36" t="str">
        <x:v>1/2/4 TB</x:v>
      </x:c>
      <x:c r="M33" s="36" t="str">
        <x:v>32/64/128 GB</x:v>
      </x:c>
      <x:c r="N33" s="72" t="str">
        <x:v>Native</x:v>
      </x:c>
      <x:c r="O33" s="36" t="str">
        <x:v>warm restart / reboot-cold / Docker restart</x:v>
      </x:c>
      <x:c r="P33" s="36" t="str">
        <x:v>启动时间、PhysicalDisk、Docker health、文件/索引完整性</x:v>
      </x:c>
      <x:c r="Q33" s="36" t="str">
        <x:v>重启后 row count、hash、Tier-2 cleanup、training batch 均正确</x:v>
      </x:c>
      <x:c r="R33" s="36" t="str">
        <x:v>消费级 AI PC 常见睡眠/重启路径必须独立验证</x:v>
      </x:c>
      <x:c r="S33" s="36" t="str">
        <x:v>recovery_matrix.json</x:v>
      </x:c>
      <x:c r="T33" s="36" t="str">
        <x:v>可运行</x:v>
      </x:c>
      <x:c r="U33" s="36" t="str">
        <x:v>可运行</x:v>
      </x:c>
      <x:c r="V33" s="72" t="str">
        <x:v>Not Started</x:v>
      </x:c>
      <x:c r="W33" s="36" t="str"/>
    </x:row>
    <x:row r="34" ht="86" customHeight="1">
      <x:c r="A34" s="71" t="str">
        <x:v>S6-REC-02</x:v>
      </x:c>
      <x:c r="B34" s="36" t="str">
        <x:v>mlpstorage validate + hashlib + Milvus</x:v>
      </x:c>
      <x:c r="C34" s="36" t="str">
        <x:v>将“性能通过”与“数据仍可用”绑定，避免静默损坏</x:v>
      </x:c>
      <x:c r="D34" s="36" t="str">
        <x:v>1. Checkpoint hash/大小
2. Training 清单/样本数
3. KV 孤儿文件
4. VDB row count/Recall
5. 再跑最小 smoke</x:v>
      </x:c>
      <x:c r="E34" s="36" t="str">
        <x:v>30–60 分钟</x:v>
      </x:c>
      <x:c r="F34" s="36" t="str">
        <x:v>mlpstorage validate ...
Get-FileHash &lt;checkpoint&gt; -Algorithm SHA256</x:v>
      </x:c>
      <x:c r="G34" s="36" t="str">
        <x:v>任何 hash/row count/样本数不一致、缺少 integrity.json</x:v>
      </x:c>
      <x:c r="H34" s="36" t="str">
        <x:v>Stage 6</x:v>
      </x:c>
      <x:c r="I34" s="72" t="str">
        <x:v>P0</x:v>
      </x:c>
      <x:c r="J34" s="36" t="str">
        <x:v>数据完整性</x:v>
      </x:c>
      <x:c r="K34" s="36" t="str">
        <x:v>P1/P2/P3</x:v>
      </x:c>
      <x:c r="L34" s="36" t="str">
        <x:v>1/2/4 TB</x:v>
      </x:c>
      <x:c r="M34" s="36" t="str">
        <x:v>32/64/128 GB</x:v>
      </x:c>
      <x:c r="N34" s="72" t="str">
        <x:v>Native</x:v>
      </x:c>
      <x:c r="O34" s="36" t="str">
        <x:v>hash、样本数、row count、固定 batch 重读</x:v>
      </x:c>
      <x:c r="P34" s="36" t="str">
        <x:v>hash、文件大小、样本数、row count、Recall、错误日志</x:v>
      </x:c>
      <x:c r="Q34" s="36" t="str">
        <x:v>无数据损坏；恢复后关键指标偏差≤10%；结论可归档</x:v>
      </x:c>
      <x:c r="R34" s="36" t="str">
        <x:v>恢复是系统级 AI SSD 结论的硬门槛，不允许用平均性能掩盖错误</x:v>
      </x:c>
      <x:c r="S34" s="36" t="str">
        <x:v>integrity.json、verdict.json</x:v>
      </x:c>
      <x:c r="T34" s="36" t="str">
        <x:v>可运行</x:v>
      </x:c>
      <x:c r="U34" s="36" t="str">
        <x:v>可运行</x:v>
      </x:c>
      <x:c r="V34" s="72" t="str">
        <x:v>Not Started</x:v>
      </x:c>
      <x:c r="W34" s="36" t="str"/>
    </x:row>
  </x:sheetData>
  <x:mergeCells>
    <x:mergeCell ref="A1:W1"/>
    <x:mergeCell ref="A2:W2"/>
  </x:mergeCells>
  <x:conditionalFormatting sqref="I6:I34">
    <x:cfRule type="expression" dxfId="0" priority="1">
      <x:formula>$I6="P0"</x:formula>
    </x:cfRule>
  </x:conditionalFormatting>
  <x:conditionalFormatting sqref="N6:N34">
    <x:cfRule type="expression" dxfId="1" priority="2">
      <x:formula>$N6="Trace/Replay"</x:formula>
    </x:cfRule>
  </x:conditionalFormatting>
  <x:conditionalFormatting sqref="V6:V34">
    <x:cfRule type="expression" dxfId="2" priority="3">
      <x:formula>$V6="Pass"</x:formula>
    </x:cfRule>
    <x:cfRule type="expression" dxfId="3" priority="4">
      <x:formula>$V6="Invalid"</x:formula>
    </x:cfRule>
  </x:conditionalFormatting>
  <x:dataValidations count="2">
    <x:dataValidation type="list" sqref="V6:V34">
      <x:formula1>"Not Started,Pass,Conditional,Invalid,Not Run"</x:formula1>
    </x:dataValidation>
    <x:dataValidation type="list" sqref="N6:N34">
      <x:formula1>"System Gate,Native,Scaled,Trace/Replay,Hybrid"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4a2d3e4b0940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36" hidden="0" customWidth="1"/>
    <x:col min="4" max="4" width="48" hidden="0" customWidth="1"/>
    <x:col min="5" max="5" width="14" hidden="0" customWidth="1"/>
    <x:col min="6" max="6" width="42" hidden="0" customWidth="1"/>
    <x:col min="7" max="7" width="42" hidden="0" customWidth="1"/>
    <x:col min="8" max="8" width="11" hidden="0" customWidth="1"/>
    <x:col min="9" max="9" width="14" hidden="0" customWidth="1"/>
    <x:col min="10" max="10" width="34" hidden="0" customWidth="1"/>
    <x:col min="11" max="11" width="12" hidden="0" customWidth="1"/>
    <x:col min="12" max="12" width="13" hidden="0" customWidth="1"/>
  </x:cols>
  <x:sheetData>
    <x:row r="1" ht="30" customHeight="1">
      <x:c r="A1" s="43" t="str">
        <x:v>简化版测试用例清单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2" ht="34" customHeight="1">
      <x:c r="A2" s="44" t="str">
        <x:v>执行人员按 Case ID、工具、目的、步骤、时长、脚本和标准执行；详细配置与监控见核心矩阵。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32" customHeight="1">
      <x:c r="A5" s="48" t="str">
        <x:v>Case ID</x:v>
      </x:c>
      <x:c r="B5" s="48" t="str">
        <x:v>测试工具</x:v>
      </x:c>
      <x:c r="C5" s="48" t="str">
        <x:v>测试目的</x:v>
      </x:c>
      <x:c r="D5" s="48" t="str">
        <x:v>测试步骤</x:v>
      </x:c>
      <x:c r="E5" s="48" t="str">
        <x:v>测试时长</x:v>
      </x:c>
      <x:c r="F5" s="48" t="str">
        <x:v>测试脚本</x:v>
      </x:c>
      <x:c r="G5" s="48" t="str">
        <x:v>测试标准</x:v>
      </x:c>
      <x:c r="H5" s="48" t="str">
        <x:v>阶段</x:v>
      </x:c>
      <x:c r="I5" s="48" t="str">
        <x:v>执行模式</x:v>
      </x:c>
      <x:c r="J5" s="48" t="str">
        <x:v>推荐配置</x:v>
      </x:c>
      <x:c r="K5" s="48" t="str">
        <x:v>是否首轮</x:v>
      </x:c>
      <x:c r="L5" s="48" t="str">
        <x:v>结果</x:v>
      </x:c>
    </x:row>
    <x:row r="6" ht="86" customHeight="1">
      <x:c r="A6" s="71" t="str">
        <x:v>S0-ENV-01</x:v>
      </x:c>
      <x:c r="B6" s="36" t="str">
        <x:v>PowerShell + mlpstorage init</x:v>
      </x:c>
      <x:c r="C6" s="36" t="str">
        <x:v>建立DUT 基线，证明监控和数据路径可用</x:v>
      </x:c>
      <x:c r="D6" s="36" t="str">
        <x:v>1. 记录 SSD 型号/固件、PCIe link、文件系统、剩余空间
2. 设置电源模式
3. 建立 DUT_DATA、DUT_CACHE、RESULTS
4. 启动 1 s 采样</x:v>
      </x:c>
      <x:c r="E6" s="36" t="str">
        <x:v>15–20 分钟</x:v>
      </x:c>
      <x:c r="F6" s="36" t="str">
        <x:v>mlpstorage init --results-dir &lt;RESULTS&gt;
Get-Counter '\PhysicalDisk(*)\*' -SampleInterval 1</x:v>
      </x:c>
      <x:c r="G6" s="36" t="str">
        <x:v>身份/路径/监控完整；RESULTS 不在 DUT 或已明确例外</x:v>
      </x:c>
      <x:c r="H6" s="36" t="str">
        <x:v>Stage 0</x:v>
      </x:c>
      <x:c r="I6" s="36" t="str">
        <x:v>System Gate</x:v>
      </x:c>
      <x:c r="J6" s="36" t="str">
        <x:v>1/2/4 TB / 32/64/128 GB / DUT 身份、SMART、PCIe、温度、路径</x:v>
      </x:c>
      <x:c r="K6" s="36" t="str">
        <x:v>是</x:v>
      </x:c>
      <x:c r="L6" s="72" t="str">
        <x:v>Not Started</x:v>
      </x:c>
    </x:row>
    <x:row r="7" ht="86" customHeight="1">
      <x:c r="A7" s="71" t="str">
        <x:v>S0-CAP-02</x:v>
      </x:c>
      <x:c r="B7" s="36" t="str">
        <x:v>mlpstorage datasize + PowerShell</x:v>
      </x:c>
      <x:c r="C7" s="36" t="str">
        <x:v>确认工作集、临时空间、结果空间和保留空间能够共存</x:v>
      </x:c>
      <x:c r="D7" s="36" t="str">
        <x:v>1. 计算 workload 所需空间
2. 检查可用容量
3. 保留 15–20% 空闲
4. 确认 Docker/Milvus 临时空间</x:v>
      </x:c>
      <x:c r="E7" s="36" t="str">
        <x:v>10 分钟</x:v>
      </x:c>
      <x:c r="F7" s="36" t="str">
        <x:v>mlpstorage training datasize ...
Get-Volume | Select DriveLetter,SizeRemaining,Size</x:v>
      </x:c>
      <x:c r="G7" s="36" t="str">
        <x:v>容量预算通过且路径映射清楚</x:v>
      </x:c>
      <x:c r="H7" s="36" t="str">
        <x:v>Stage 0</x:v>
      </x:c>
      <x:c r="I7" s="36" t="str">
        <x:v>System Gate</x:v>
      </x:c>
      <x:c r="J7" s="36" t="str">
        <x:v>1/2/4 TB / 32/64/128 GB / 容量预算、数据与结果目录</x:v>
      </x:c>
      <x:c r="K7" s="36" t="str">
        <x:v>是</x:v>
      </x:c>
      <x:c r="L7" s="72" t="str">
        <x:v>Not Started</x:v>
      </x:c>
    </x:row>
    <x:row r="8" ht="86" customHeight="1">
      <x:c r="A8" s="71" t="str">
        <x:v>S0-CONFIG-03</x:v>
      </x:c>
      <x:c r="B8" s="36" t="str">
        <x:v>mlpstorage configview + Git</x:v>
      </x:c>
      <x:c r="C8" s="36" t="str">
        <x:v>锁定软件和参数，保证不同 SSD 结果可比较</x:v>
      </x:c>
      <x:c r="D8" s="36" t="str">
        <x:v>1. 执行 configview
2. 保存 CLI、YAML、commit、Python/driver/Docker 版本
3. 固定 seed=42
4. 生成 run manifest</x:v>
      </x:c>
      <x:c r="E8" s="36" t="str">
        <x:v>10 分钟</x:v>
      </x:c>
      <x:c r="F8" s="36" t="str">
        <x:v>mlpstorage training configview ...
mlpstorage checkpointing configview ...</x:v>
      </x:c>
      <x:c r="G8" s="36" t="str">
        <x:v>配置缺失、seed 不一致、同一 run 混用不同数据集</x:v>
      </x:c>
      <x:c r="H8" s="36" t="str">
        <x:v>Stage 0</x:v>
      </x:c>
      <x:c r="I8" s="36" t="str">
        <x:v>System Gate</x:v>
      </x:c>
      <x:c r="J8" s="36" t="str">
        <x:v>1/2/4 TB / 32/64/128 GB / 模型、seed、版本、参数快照</x:v>
      </x:c>
      <x:c r="K8" s="36" t="str">
        <x:v>是</x:v>
      </x:c>
      <x:c r="L8" s="72" t="str">
        <x:v>Not Started</x:v>
      </x:c>
    </x:row>
    <x:row r="9" ht="86" customHeight="1">
      <x:c r="A9" s="71" t="str">
        <x:v>S1-IO-01</x:v>
      </x:c>
      <x:c r="B9" s="36" t="str">
        <x:v>vdbbench.trace_runner + replay.py</x:v>
      </x:c>
      <x:c r="C9" s="36" t="str">
        <x:v>建立逻辑 trace 到 Windows 文件系统回放的基线</x:v>
      </x:c>
      <x:c r="D9" s="36" t="str">
        <x:v>1. 录制 insert/flush/load/search
2. 保存六列 trace
3. 按原始节奏回放
4. 记录逻辑字节与 PhysicalDisk 字节</x:v>
      </x:c>
      <x:c r="E9" s="36" t="str">
        <x:v>20–30 分钟</x:v>
      </x:c>
      <x:c r="F9" s="36" t="str">
        <x:v>python -m vdbbench.trace_runner --vectors 1000 --dim 128 --output trace.csv
python -m vdbbench.replay --trace trace.csv --root &lt;DUT_DATA&gt;</x:v>
      </x:c>
      <x:c r="G9" s="36" t="str">
        <x:v>trace 完整；回放无异常；逻辑/物理字节均有记录</x:v>
      </x:c>
      <x:c r="H9" s="36" t="str">
        <x:v>Stage 1</x:v>
      </x:c>
      <x:c r="I9" s="36" t="str">
        <x:v>Trace/Replay</x:v>
      </x:c>
      <x:c r="J9" s="36" t="str">
        <x:v>1/2/4 TB / 32/64/128 GB / VDB 1K/128 trace，buffered</x:v>
      </x:c>
      <x:c r="K9" s="36" t="str">
        <x:v>是</x:v>
      </x:c>
      <x:c r="L9" s="72" t="str">
        <x:v>Not Started</x:v>
      </x:c>
    </x:row>
    <x:row r="10" ht="86" customHeight="1">
      <x:c r="A10" s="71" t="str">
        <x:v>S1-IO-02</x:v>
      </x:c>
      <x:c r="B10" s="36" t="str">
        <x:v>vdbbench.replay --direct-io</x:v>
      </x:c>
      <x:c r="C10" s="36" t="str">
        <x:v>区分页缓存影响，验证 unbuffered 访问路径</x:v>
      </x:c>
      <x:c r="D10" s="36" t="str">
        <x:v>1. 复用 S1-IO-01 trace
2. 开启 direct I/O
3. 检查 Windows 对齐错误
4. 比较 buffered/direct 两条曲线</x:v>
      </x:c>
      <x:c r="E10" s="36" t="str">
        <x:v>20–30 分钟</x:v>
      </x:c>
      <x:c r="F10" s="36" t="str">
        <x:v>python -m vdbbench.replay --trace trace.csv --root &lt;DUT_DATA&gt; --direct-io</x:v>
      </x:c>
      <x:c r="G10" s="36" t="str">
        <x:v>对齐失败、物理 bytes 为 0、结果只来自页缓存</x:v>
      </x:c>
      <x:c r="H10" s="36" t="str">
        <x:v>Stage 1</x:v>
      </x:c>
      <x:c r="I10" s="36" t="str">
        <x:v>Trace/Replay</x:v>
      </x:c>
      <x:c r="J10" s="36" t="str">
        <x:v>1/2/4 TB / 32/64/128 GB / 同一 trace，Direct I/O</x:v>
      </x:c>
      <x:c r="K10" s="36" t="str">
        <x:v>是</x:v>
      </x:c>
      <x:c r="L10" s="72" t="str">
        <x:v>Not Started</x:v>
      </x:c>
    </x:row>
    <x:row r="11" ht="86" customHeight="1">
      <x:c r="A11" s="71" t="str">
        <x:v>S1-IO-03</x:v>
      </x:c>
      <x:c r="B11" s="36" t="str">
        <x:v>replay.py + PowerShell Restart-Computer</x:v>
      </x:c>
      <x:c r="C11" s="36" t="str">
        <x:v>量化首次访问、缓存命中和重启冷启动差异</x:v>
      </x:c>
      <x:c r="D11" s="36" t="str">
        <x:v>1. 执行 cold replay
2. 重复相同 trace 得 warm
3. 系统重启后再执行 reboot-cold
4. 分别归档三次结果</x:v>
      </x:c>
      <x:c r="E11" s="36" t="str">
        <x:v>30–45 分钟</x:v>
      </x:c>
      <x:c r="F11" s="36" t="str">
        <x:v>python -m vdbbench.replay --trace trace.csv --root &lt;DUT_DATA&gt;
Restart-Computer</x:v>
      </x:c>
      <x:c r="G11" s="36" t="str">
        <x:v>未重启却标记 cold、物理读量无变化且无解释</x:v>
      </x:c>
      <x:c r="H11" s="36" t="str">
        <x:v>Stage 1</x:v>
      </x:c>
      <x:c r="I11" s="36" t="str">
        <x:v>Trace/Replay</x:v>
      </x:c>
      <x:c r="J11" s="36" t="str">
        <x:v>1/2/4 TB / 32/64/128 GB / cold → warm → reboot-cold</x:v>
      </x:c>
      <x:c r="K11" s="36" t="str">
        <x:v>是</x:v>
      </x:c>
      <x:c r="L11" s="72" t="str">
        <x:v>Not Started</x:v>
      </x:c>
    </x:row>
    <x:row r="12" ht="86" customHeight="1">
      <x:c r="A12" s="71" t="str">
        <x:v>S1-IO-04</x:v>
      </x:c>
      <x:c r="B12" s="36" t="str">
        <x:v>PowerShell + replay.py</x:v>
      </x:c>
      <x:c r="C12" s="36" t="str">
        <x:v>暴露高占用、GC 和 SLC 缓存退化</x:v>
      </x:c>
      <x:c r="D12" s="36" t="str">
        <x:v>1. 准备不同占用档位
2. 每档执行固定短 trace
3. 不进行长时间 endurance
4. 记录温度和恢复时间</x:v>
      </x:c>
      <x:c r="E12" s="36" t="str">
        <x:v>45–60 分钟</x:v>
      </x:c>
      <x:c r="F12" s="36" t="str">
        <x:v>fsutil file createnew &lt;path&gt; &lt;bytes&gt;
python -m vdbbench.replay --trace trace.csv --root &lt;DUT_DATA&gt;</x:v>
      </x:c>
      <x:c r="G12" s="36" t="str">
        <x:v>占用超过 90%、容量门禁被绕过、温度/错误未记录</x:v>
      </x:c>
      <x:c r="H12" s="36" t="str">
        <x:v>Stage 1</x:v>
      </x:c>
      <x:c r="I12" s="36" t="str">
        <x:v>System Gate</x:v>
      </x:c>
      <x:c r="J12" s="36" t="str">
        <x:v>1/2/4 TB / 32/64/128 GB / 50%/80%/90% 盘占用短跑</x:v>
      </x:c>
      <x:c r="K12" s="36" t="str">
        <x:v>是</x:v>
      </x:c>
      <x:c r="L12" s="72" t="str">
        <x:v>Not Started</x:v>
      </x:c>
    </x:row>
    <x:row r="13" ht="86" customHeight="1">
      <x:c r="A13" s="71" t="str">
        <x:v>S2-TRN-01</x:v>
      </x:c>
      <x:c r="B13" s="36" t="str">
        <x:v>mlpstorage training run</x:v>
      </x:c>
      <x:c r="C13" s="36" t="str">
        <x:v>验证训练数据实际从 DUT 读出并形成有效吞吐/AU</x:v>
      </x:c>
      <x:c r="D13" s="36" t="str">
        <x:v>1. 生成或准备小型 NPZ 数据
2. 执行单机 file backend
3. 检查 samples、AU、结果和 PhysicalDisk 读量</x:v>
      </x:c>
      <x:c r="E13" s="36" t="str">
        <x:v>20–30 分钟</x:v>
      </x:c>
      <x:c r="F13" s="36" t="str">
        <x:v>mlpstorage training datagen --model unet3d ...
mlpstorage training run --model unet3d --storage file ...</x:v>
      </x:c>
      <x:c r="G13" s="36" t="str">
        <x:v>只读到页缓存、无 AU、结果文件缺失</x:v>
      </x:c>
      <x:c r="H13" s="36" t="str">
        <x:v>Stage 2</x:v>
      </x:c>
      <x:c r="I13" s="36" t="str">
        <x:v>Native</x:v>
      </x:c>
      <x:c r="J13" s="36" t="str">
        <x:v>1/2/4 TB / 32/64/128 GB / UNet3D smoke（2–8 文件）</x:v>
      </x:c>
      <x:c r="K13" s="36" t="str">
        <x:v>是</x:v>
      </x:c>
      <x:c r="L13" s="72" t="str">
        <x:v>Not Started</x:v>
      </x:c>
    </x:row>
    <x:row r="14" ht="86" customHeight="1">
      <x:c r="A14" s="71" t="str">
        <x:v>S2-CKPT-01</x:v>
      </x:c>
      <x:c r="B14" s="36" t="str">
        <x:v>mlpstorage checkpointing run</x:v>
      </x:c>
      <x:c r="C14" s="36" t="str">
        <x:v>验证 checkpoint 文件写入、读取和完整性闭环</x:v>
      </x:c>
      <x:c r="D14" s="36" t="str">
        <x:v>1. 准备约 105 GB checkpoint 或受控缩小样本
2. 执行一次 write、一次 read
3. 比较文件大小和 hash</x:v>
      </x:c>
      <x:c r="E14" s="36" t="str">
        <x:v>30–60 分钟</x:v>
      </x:c>
      <x:c r="F14" s="36" t="str">
        <x:v>mlpstorage checkpointing run --model llama3-8b --storage file ...</x:v>
      </x:c>
      <x:c r="G14" s="36" t="str">
        <x:v>只生成元数据、hash 不一致、没有物理写入</x:v>
      </x:c>
      <x:c r="H14" s="36" t="str">
        <x:v>Stage 2</x:v>
      </x:c>
      <x:c r="I14" s="36" t="str">
        <x:v>Native</x:v>
      </x:c>
      <x:c r="J14" s="36" t="str">
        <x:v>1/2/4 TB / 32/64/128 GB / Llama3-8B，1 write + 1 read</x:v>
      </x:c>
      <x:c r="K14" s="36" t="str">
        <x:v>是</x:v>
      </x:c>
      <x:c r="L14" s="72" t="str">
        <x:v>Not Started</x:v>
      </x:c>
    </x:row>
    <x:row r="15" ht="86" customHeight="1">
      <x:c r="A15" s="71" t="str">
        <x:v>S2-KV-01</x:v>
      </x:c>
      <x:c r="B15" s="36" t="str">
        <x:v>mlpstorage kvcache run</x:v>
      </x:c>
      <x:c r="C15" s="36" t="str">
        <x:v>验证 Tier-2 cache directory 指向 DUT 且产生真实 NVMe I/O</x:v>
      </x:c>
      <x:c r="D15" s="36" t="str">
        <x:v>1. 运行 30–60 s
2. 先 CPU tier 0，再 CPU spill 4 GiB
3. 确认 storage entries 和 Tier-2 bytes</x:v>
      </x:c>
      <x:c r="E15" s="36" t="str">
        <x:v>15–25 分钟</x:v>
      </x:c>
      <x:c r="F15" s="36" t="str">
        <x:v>mlpstorage kvcache run --model llama3.1-8b --cache-dir &lt;DUT_CACHE&gt; --duration 60</x:v>
      </x:c>
      <x:c r="G15" s="36" t="str">
        <x:v>Tier-2 bytes=0、cache-dir 非 DUT、只有逻辑计数无物理读写</x:v>
      </x:c>
      <x:c r="H15" s="36" t="str">
        <x:v>Stage 2</x:v>
      </x:c>
      <x:c r="I15" s="36" t="str">
        <x:v>Native</x:v>
      </x:c>
      <x:c r="J15" s="36" t="str">
        <x:v>1/2/4 TB / 32/64/128 GB / Llama3.1-8B，CPU tier 0/4 GB</x:v>
      </x:c>
      <x:c r="K15" s="36" t="str">
        <x:v>是</x:v>
      </x:c>
      <x:c r="L15" s="72" t="str">
        <x:v>Not Started</x:v>
      </x:c>
    </x:row>
    <x:row r="16" ht="86" customHeight="1">
      <x:c r="A16" s="71" t="str">
        <x:v>S2-VDB-01</x:v>
      </x:c>
      <x:c r="B16" s="36" t="str">
        <x:v>Docker Desktop + mlpstorage vectordb</x:v>
      </x:c>
      <x:c r="C16" s="36" t="str">
        <x:v>验证 Windows Docker/Milvus、写入、flush、load 和查询链路</x:v>
      </x:c>
      <x:c r="D16" s="36" t="str">
        <x:v>1. 启动 Milvus
2. 写入 1K/50K 向量
3. flush/build/load
4. 执行 30 s 查询
5. 检查 row count、QPS、Recall 和物理读写</x:v>
      </x:c>
      <x:c r="E16" s="36" t="str">
        <x:v>30–60 分钟</x:v>
      </x:c>
      <x:c r="F16" s="36" t="str">
        <x:v>docker compose -f docker-compose.win.yml up -d
mlpstorage vectordb run --dataset 1000 --index hnsw ...</x:v>
      </x:c>
      <x:c r="G16" s="36" t="str">
        <x:v>Milvus 未 ready、row count 不一致、Docker 数据路径未确认</x:v>
      </x:c>
      <x:c r="H16" s="36" t="str">
        <x:v>Stage 2</x:v>
      </x:c>
      <x:c r="I16" s="36" t="str">
        <x:v>Native</x:v>
      </x:c>
      <x:c r="J16" s="36" t="str">
        <x:v>1/2/4 TB / 32/64/128 GB / Milvus 1K/50K，HNSW 或 DISKANN</x:v>
      </x:c>
      <x:c r="K16" s="36" t="str">
        <x:v>是</x:v>
      </x:c>
      <x:c r="L16" s="72" t="str">
        <x:v>Not Started</x:v>
      </x:c>
    </x:row>
    <x:row r="17" ht="86" customHeight="1">
      <x:c r="A17" s="71" t="str">
        <x:v>S3-TRN-01</x:v>
      </x:c>
      <x:c r="B17" s="36" t="str">
        <x:v>mlpstorage training + DLIO</x:v>
      </x:c>
      <x:c r="C17" s="36" t="str">
        <x:v>评价持续读取带宽、AU 和 reader thread 扩展</x:v>
      </x:c>
      <x:c r="D17" s="36" t="str">
        <x:v>1. warm-up 1 次
2. 测量 3 次
3. 加速器模型 1/2/4
4. reader threads 1/4/8/16
5. P1/P2 使用 200/400 GiB scaled，P3 可扩大</x:v>
      </x:c>
      <x:c r="E17" s="36" t="str">
        <x:v>60–120 分钟</x:v>
      </x:c>
      <x:c r="F17" s="36" t="str">
        <x:v>mlpstorage training run --model unet3d --num-accelerators 1/2/4 --reader-threads 1/4/8/16 ...</x:v>
      </x:c>
      <x:c r="G17" s="36" t="str">
        <x:v>数据集不足却标 native、AU 无法解释、读量未命中 DUT</x:v>
      </x:c>
      <x:c r="H17" s="36" t="str">
        <x:v>Stage 3</x:v>
      </x:c>
      <x:c r="I17" s="36" t="str">
        <x:v>Hybrid</x:v>
      </x:c>
      <x:c r="J17" s="36" t="str">
        <x:v>1/2/4 TB / 32/64/128 GB / T-Large：UNet3D 大文件</x:v>
      </x:c>
      <x:c r="K17" s="36" t="str">
        <x:v>是</x:v>
      </x:c>
      <x:c r="L17" s="72" t="str">
        <x:v>Not Started</x:v>
      </x:c>
    </x:row>
    <x:row r="18" ht="86" customHeight="1">
      <x:c r="A18" s="71" t="str">
        <x:v>S3-TRN-02</x:v>
      </x:c>
      <x:c r="B18" s="36" t="str">
        <x:v>mlpstorage training + DLIO</x:v>
      </x:c>
      <x:c r="C18" s="36" t="str">
        <x:v>评价 metadata、IOPS 和小文件尾延迟</x:v>
      </x:c>
      <x:c r="D18" s="36" t="str">
        <x:v>1. 先 100K JPEG，再按容量扩展
2. 并发 1/2/4
3. reader threads 1/4/8
4. 每档 warm-up + 3 次测量</x:v>
      </x:c>
      <x:c r="E18" s="36" t="str">
        <x:v>60–120 分钟</x:v>
      </x:c>
      <x:c r="F18" s="36" t="str">
        <x:v>mlpstorage training run --model retinanet --num-processes 1 ...</x:v>
      </x:c>
      <x:c r="G18" s="36" t="str">
        <x:v>文件清单不完整、缓存命中无物理读、尾延迟无监控</x:v>
      </x:c>
      <x:c r="H18" s="36" t="str">
        <x:v>Stage 3</x:v>
      </x:c>
      <x:c r="I18" s="36" t="str">
        <x:v>Hybrid</x:v>
      </x:c>
      <x:c r="J18" s="36" t="str">
        <x:v>1/2/4 TB / 32/64/128 GB / T-Small：RetinaNet 小文件</x:v>
      </x:c>
      <x:c r="K18" s="36" t="str">
        <x:v>是</x:v>
      </x:c>
      <x:c r="L18" s="72" t="str">
        <x:v>Not Started</x:v>
      </x:c>
    </x:row>
    <x:row r="19" ht="86" customHeight="1">
      <x:c r="A19" s="71" t="str">
        <x:v>S3-TRN-03</x:v>
      </x:c>
      <x:c r="B19" s="36" t="str">
        <x:v>mlpstorage training + DLIO</x:v>
      </x:c>
      <x:c r="C19" s="36" t="str">
        <x:v>评价中等对象、shuffle 和 batch 读取的混合行为</x:v>
      </x:c>
      <x:c r="D19" s="36" t="str">
        <x:v>1. 准备约 136.8 GiB 数据
2. 固定 batch 400
3. reader/computation threads 8
4. 对比 cold/warm</x:v>
      </x:c>
      <x:c r="E19" s="36" t="str">
        <x:v>45–90 分钟</x:v>
      </x:c>
      <x:c r="F19" s="36" t="str">
        <x:v>mlpstorage training run --model resnet50 --batch-size 400 --reader-threads 8 ...</x:v>
      </x:c>
      <x:c r="G19" s="36" t="str">
        <x:v>数据未落到 DUT、batch/threads 漂移、分页导致结果不可比</x:v>
      </x:c>
      <x:c r="H19" s="36" t="str">
        <x:v>Stage 3</x:v>
      </x:c>
      <x:c r="I19" s="36" t="str">
        <x:v>Native</x:v>
      </x:c>
      <x:c r="J19" s="36" t="str">
        <x:v>1/2/4 TB / 32/64/128 GB / T-Medium：ResNet50 TFRecord</x:v>
      </x:c>
      <x:c r="K19" s="36" t="str">
        <x:v>是</x:v>
      </x:c>
      <x:c r="L19" s="72" t="str">
        <x:v>Not Started</x:v>
      </x:c>
    </x:row>
    <x:row r="20" ht="86" customHeight="1">
      <x:c r="A20" s="71" t="str">
        <x:v>S3-CKPT-01</x:v>
      </x:c>
      <x:c r="B20" s="36" t="str">
        <x:v>mlpstorage checkpointing</x:v>
      </x:c>
      <x:c r="C20" s="36" t="str">
        <x:v>评价大块写入、fsync、cold/warm restore 和重复 checkpoint 退化</x:v>
      </x:c>
      <x:c r="D20" s="36" t="str">
        <x:v>1. 1TB 采用单轮 write→cold read→删除
2. 2TB 至少 3 轮
3. 4TB 执行 10/10
4. 每轮归档 hash</x:v>
      </x:c>
      <x:c r="E20" s="36" t="str">
        <x:v>2–4 小时</x:v>
      </x:c>
      <x:c r="F20" s="36" t="str">
        <x:v>mlpstorage checkpointing run --model llama3-8b --num-checkpoints 1/3/10 --storage file ...</x:v>
      </x:c>
      <x:c r="G20" s="36" t="str">
        <x:v>容量门禁绕过、hash 不一致、无法区分 cold/warm</x:v>
      </x:c>
      <x:c r="H20" s="36" t="str">
        <x:v>Stage 3</x:v>
      </x:c>
      <x:c r="I20" s="36" t="str">
        <x:v>Native</x:v>
      </x:c>
      <x:c r="J20" s="36" t="str">
        <x:v>1/2/4 TB / 32/64/128 GB / C-8B：1/3/10 次 write/read</x:v>
      </x:c>
      <x:c r="K20" s="36" t="str">
        <x:v>是</x:v>
      </x:c>
      <x:c r="L20" s="72" t="str">
        <x:v>Not Started</x:v>
      </x:c>
    </x:row>
    <x:row r="21" ht="86" customHeight="1">
      <x:c r="A21" s="71" t="str">
        <x:v>S3-CKPT-02</x:v>
      </x:c>
      <x:c r="B21" s="36" t="str">
        <x:v>mlpstorage checkpointing + Windows adapter</x:v>
      </x:c>
      <x:c r="C21" s="36" t="str">
        <x:v>覆盖更大模型分片和突发写入，不要求 912 GB full checkpoint</x:v>
      </x:c>
      <x:c r="D21" s="36" t="str">
        <x:v>1. 在 2/4TB 执行 1 轮
2. 4TB 可执行 3 轮
3. 记录 shard/optimizer shard 比例和恢复时间</x:v>
      </x:c>
      <x:c r="E21" s="36" t="str">
        <x:v>60–120 分钟</x:v>
      </x:c>
      <x:c r="F21" s="36" t="str">
        <x:v>mlpstorage checkpointing run --model llama3-70b --num-processes 8 --subset ...</x:v>
      </x:c>
      <x:c r="G21" s="36" t="str">
        <x:v>误称 full 70B、rank 不合法、容量/结果空间不足</x:v>
      </x:c>
      <x:c r="H21" s="36" t="str">
        <x:v>Stage 3</x:v>
      </x:c>
      <x:c r="I21" s="36" t="str">
        <x:v>Hybrid</x:v>
      </x:c>
      <x:c r="J21" s="36" t="str">
        <x:v>2/4 TB / 64/128 GB / C-70B-subset：8 ranks，约 114 GB</x:v>
      </x:c>
      <x:c r="K21" s="36" t="str">
        <x:v>是</x:v>
      </x:c>
      <x:c r="L21" s="72" t="str">
        <x:v>Not Started</x:v>
      </x:c>
    </x:row>
    <x:row r="22" ht="86" customHeight="1">
      <x:c r="A22" s="71" t="str">
        <x:v>S3-CKPT-03</x:v>
      </x:c>
      <x:c r="B22" s="36" t="str">
        <x:v>mlpstorage checkpointing + PowerShell monitor</x:v>
      </x:c>
      <x:c r="C22" s="36" t="str">
        <x:v>评价连续 checkpoint 间隔、后台 GC 和后续恢复退化</x:v>
      </x:c>
      <x:c r="D22" s="36" t="str">
        <x:v>1. 固定 8B 或 70B subset
2. 按 5/30/300s 间隔重复
3. 比较第 1、3、10 轮延迟和温度</x:v>
      </x:c>
      <x:c r="E22" s="36" t="str">
        <x:v>90–180 分钟</x:v>
      </x:c>
      <x:c r="F22" s="36" t="str">
        <x:v>for ($i=1; $i -le 10; $i++) { mlpstorage checkpointing run ...; Start-Sleep -Seconds 30 }</x:v>
      </x:c>
      <x:c r="G22" s="36" t="str">
        <x:v>后台任务未记录、间隔漂移、删除/清理影响未标注</x:v>
      </x:c>
      <x:c r="H22" s="36" t="str">
        <x:v>Stage 3</x:v>
      </x:c>
      <x:c r="I22" s="36" t="str">
        <x:v>Hybrid</x:v>
      </x:c>
      <x:c r="J22" s="36" t="str">
        <x:v>2/4 TB / 64/128 GB / C-Burst：间隔 5/30/300 s</x:v>
      </x:c>
      <x:c r="K22" s="36" t="str">
        <x:v>是</x:v>
      </x:c>
      <x:c r="L22" s="72" t="str">
        <x:v>Not Started</x:v>
      </x:c>
    </x:row>
    <x:row r="23" ht="86" customHeight="1">
      <x:c r="A23" s="71" t="str">
        <x:v>S3-KV-01</x:v>
      </x:c>
      <x:c r="B23" s="36" t="str">
        <x:v>mlpstorage kvcache + standalone trace</x:v>
      </x:c>
      <x:c r="C23" s="36" t="str">
        <x:v>测量 NVMe-only KV 的并发读写、token 吞吐和尾延迟</x:v>
      </x:c>
      <x:c r="D23" s="36" t="str">
        <x:v>1. 固定 seed=42、duration=300s
2. users 25/50/100
3. generation none
4. 3–5 trials
5. 确认 Tier-2 bytes</x:v>
      </x:c>
      <x:c r="E23" s="36" t="str">
        <x:v>45–90 分钟</x:v>
      </x:c>
      <x:c r="F23" s="36" t="str">
        <x:v>mlpstorage kvcache run --model llama3.1-8b --gpu-tier 0 --cpu-tier 0 --users 25/50/100 --duration 300</x:v>
      </x:c>
      <x:c r="G23" s="36" t="str">
        <x:v>Tier-2=0、只产生逻辑 trace、请求生成器成为瓶颈且未说明</x:v>
      </x:c>
      <x:c r="H23" s="36" t="str">
        <x:v>Stage 3</x:v>
      </x:c>
      <x:c r="I23" s="36" t="str">
        <x:v>Native</x:v>
      </x:c>
      <x:c r="J23" s="36" t="str">
        <x:v>1/2/4 TB / 32/64/128 GB / K-NVMe：8B，GPU/CPU tier=0，users 25/50/100</x:v>
      </x:c>
      <x:c r="K23" s="36" t="str">
        <x:v>是</x:v>
      </x:c>
      <x:c r="L23" s="72" t="str">
        <x:v>Not Started</x:v>
      </x:c>
    </x:row>
    <x:row r="24" ht="86" customHeight="1">
      <x:c r="A24" s="71" t="str">
        <x:v>S3-KV-02</x:v>
      </x:c>
      <x:c r="B24" s="36" t="str">
        <x:v>mlpstorage kvcache</x:v>
      </x:c>
      <x:c r="C24" s="36" t="str">
        <x:v>定位 CPU RAM 耗尽后 spill 到 NVMe 的拐点和尾延迟</x:v>
      </x:c>
      <x:c r="D24" s="36" t="str">
        <x:v>1. users 25/50/100
2. CPU tier 4GiB
3. 固定 max allocations=16
4. 比较 spill 前后 P95/P99</x:v>
      </x:c>
      <x:c r="E24" s="36" t="str">
        <x:v>45–90 分钟</x:v>
      </x:c>
      <x:c r="F24" s="36" t="str">
        <x:v>mlpstorage kvcache run --model llama3.1-8b --cpu-tier 4 --max-allocations 16 --users 25/50/100 ...</x:v>
      </x:c>
      <x:c r="G24" s="36" t="str">
        <x:v>paging 未监控、Tier-2 未增长、CPU tier 配置未生效</x:v>
      </x:c>
      <x:c r="H24" s="36" t="str">
        <x:v>Stage 3</x:v>
      </x:c>
      <x:c r="I24" s="36" t="str">
        <x:v>Native</x:v>
      </x:c>
      <x:c r="J24" s="36" t="str">
        <x:v>1/2/4 TB / 32/64/128 GB / K-CPU-spill：8B，CPU tier=4 GiB，alloc=16</x:v>
      </x:c>
      <x:c r="K24" s="36" t="str">
        <x:v>是</x:v>
      </x:c>
      <x:c r="L24" s="72" t="str">
        <x:v>Not Started</x:v>
      </x:c>
    </x:row>
    <x:row r="25" ht="86" customHeight="1">
      <x:c r="A25" s="71" t="str">
        <x:v>S3-KV-03</x:v>
      </x:c>
      <x:c r="B25" s="36" t="str">
        <x:v>kv_cache_benchmark --io-trace-log + replay</x:v>
      </x:c>
      <x:c r="C25" s="36" t="str">
        <x:v>将无法在消费级 AI PC 完整承载的大对象压力转化为可复现 SSD trace</x:v>
      </x:c>
      <x:c r="D25" s="36" t="str">
        <x:v>1. 先录制 Tier-2 逻辑事件
2. 过滤 Tier-2
3. 按 1x/2x/4x 回放
4. 真实 KV 与 replay 分开报告</x:v>
      </x:c>
      <x:c r="E25" s="36" t="str">
        <x:v>60–120 分钟</x:v>
      </x:c>
      <x:c r="F25" s="36" t="str">
        <x:v>python -m kv_cache.cli --model llama3.1-70b-instruct --io-trace-log kv_trace.csv ...
python replay_trace.py --trace kv_trace.csv --scale 1,2,4</x:v>
      </x:c>
      <x:c r="G25" s="36" t="str">
        <x:v>把 replay 当作真实模型成绩、trace 不含 Tier-2、回放未命中 DUT</x:v>
      </x:c>
      <x:c r="H25" s="36" t="str">
        <x:v>Stage 3</x:v>
      </x:c>
      <x:c r="I25" s="36" t="str">
        <x:v>Hybrid</x:v>
      </x:c>
      <x:c r="J25" s="36" t="str">
        <x:v>2/4 TB / 64/128 GB / K-Trace-large：70B/32B/120B 对象</x:v>
      </x:c>
      <x:c r="K25" s="36" t="str">
        <x:v>是</x:v>
      </x:c>
      <x:c r="L25" s="72" t="str">
        <x:v>Not Started</x:v>
      </x:c>
    </x:row>
    <x:row r="26" ht="86" customHeight="1">
      <x:c r="A26" s="71" t="str">
        <x:v>S3-VDB-01</x:v>
      </x:c>
      <x:c r="B26" s="36" t="str">
        <x:v>Milvus + enhanced_bench</x:v>
      </x:c>
      <x:c r="C26" s="36" t="str">
        <x:v>形成本地 RAG 的 QPS、Recall 和 P99 基线</x:v>
      </x:c>
      <x:c r="D26" s="36" t="str">
        <x:v>1. 分别 build/load
2. 同一 query set
3. top-k 10/100
4. query processes 1/2/4
5. 固定 Recall 门槛后比较 QPS/P99</x:v>
      </x:c>
      <x:c r="E26" s="36" t="str">
        <x:v>2–4 小时</x:v>
      </x:c>
      <x:c r="F26" s="36" t="str">
        <x:v>mlpstorage vectordb run --dataset 1m --dim 1536 --index hnsw,diskann ...</x:v>
      </x:c>
      <x:c r="G26" s="36" t="str">
        <x:v>Recall 未锁定、row count 不一致、索引未 load 就开始计时</x:v>
      </x:c>
      <x:c r="H26" s="36" t="str">
        <x:v>Stage 3</x:v>
      </x:c>
      <x:c r="I26" s="36" t="str">
        <x:v>Native</x:v>
      </x:c>
      <x:c r="J26" s="36" t="str">
        <x:v>1/2/4 TB / 32/64/128 GB / V-1M：1M×1536，HNSW + DISKANN</x:v>
      </x:c>
      <x:c r="K26" s="36" t="str">
        <x:v>是</x:v>
      </x:c>
      <x:c r="L26" s="72" t="str">
        <x:v>Not Started</x:v>
      </x:c>
    </x:row>
    <x:row r="27" ht="86" customHeight="1">
      <x:c r="A27" s="71" t="str">
        <x:v>S3-VDB-02</x:v>
      </x:c>
      <x:c r="B27" s="36" t="str">
        <x:v>Milvus + compact_and_watch</x:v>
      </x:c>
      <x:c r="C27" s="36" t="str">
        <x:v>评价大索引、load、compaction 和持续搜索的后台 I/O</x:v>
      </x:c>
      <x:c r="D27" s="36" t="str">
        <x:v>1. P3 执行 10M
2. P2 执行 5M scaled
3. 分阶段计时 ingest/flush/build/load/search
4. 固定 Recall</x:v>
      </x:c>
      <x:c r="E27" s="36" t="str">
        <x:v>4–8 小时</x:v>
      </x:c>
      <x:c r="F27" s="36" t="str">
        <x:v>mlpstorage vectordb run --dataset 10m --dim 1536 --index diskann ...</x:v>
      </x:c>
      <x:c r="G27" s="36" t="str">
        <x:v>Docker 内存不足、容量门禁不通过、compact 失败却继续计分</x:v>
      </x:c>
      <x:c r="H27" s="36" t="str">
        <x:v>Stage 3</x:v>
      </x:c>
      <x:c r="I27" s="36" t="str">
        <x:v>Hybrid</x:v>
      </x:c>
      <x:c r="J27" s="36" t="str">
        <x:v>2/4 TB / 64/128 GB / V-10M：10M×1536，DISKANN；P2用5M scaled</x:v>
      </x:c>
      <x:c r="K27" s="36" t="str">
        <x:v>是</x:v>
      </x:c>
      <x:c r="L27" s="72" t="str">
        <x:v>Not Started</x:v>
      </x:c>
    </x:row>
    <x:row r="28" ht="86" customHeight="1">
      <x:c r="A28" s="71" t="str">
        <x:v>S4-MIX-01</x:v>
      </x:c>
      <x:c r="B28" s="36" t="str">
        <x:v>KV benchmark + checkpoint + PowerShell</x:v>
      </x:c>
      <x:c r="C28" s="36" t="str">
        <x:v>验证前台推理尾延迟受到后台大块写入时的 QoS</x:v>
      </x:c>
      <x:c r="D28" s="36" t="str">
        <x:v>1. 先测 KV solo
2. 再加入后台 checkpoint
3. 后台负载 50%/75%/100%
4. 比较前台 P99/P99.9</x:v>
      </x:c>
      <x:c r="E28" s="36" t="str">
        <x:v>60–120 分钟</x:v>
      </x:c>
      <x:c r="F28" s="36" t="str">
        <x:v>Start-Job { mlpstorage checkpointing run ... }
mlpstorage kvcache run --decode-only ...</x:v>
      </x:c>
      <x:c r="G28" s="36" t="str">
        <x:v>前台 trace 未完整、后台写入未命中 DUT、温度/queue 无解释</x:v>
      </x:c>
      <x:c r="H28" s="36" t="str">
        <x:v>Stage 4</x:v>
      </x:c>
      <x:c r="I28" s="36" t="str">
        <x:v>Hybrid</x:v>
      </x:c>
      <x:c r="J28" s="36" t="str">
        <x:v>2/4 TB / 64/128 GB / KV decode + Checkpoint write</x:v>
      </x:c>
      <x:c r="K28" s="36" t="str">
        <x:v>是</x:v>
      </x:c>
      <x:c r="L28" s="72" t="str">
        <x:v>Not Started</x:v>
      </x:c>
    </x:row>
    <x:row r="29" ht="86" customHeight="1">
      <x:c r="A29" s="71" t="str">
        <x:v>S4-MIX-02</x:v>
      </x:c>
      <x:c r="B29" s="36" t="str">
        <x:v>Milvus + enhanced_bench</x:v>
      </x:c>
      <x:c r="C29" s="36" t="str">
        <x:v>验证 RAG 查询在后台写入和 compaction 时的稳定性</x:v>
      </x:c>
      <x:c r="D29" s="36" t="str">
        <x:v>1. 先 search solo
2. 后台持续 ingest/flush/compact
3. 前后台阶梯 50%/75%/100%
4. 检查 Recall 与 P99</x:v>
      </x:c>
      <x:c r="E29" s="36" t="str">
        <x:v>60–120 分钟</x:v>
      </x:c>
      <x:c r="F29" s="36" t="str">
        <x:v>python -m vdbbench.enhanced_bench --search-only ...
python -m vdbbench.compact_and_watch ...</x:v>
      </x:c>
      <x:c r="G29" s="36" t="str">
        <x:v>Milvus 重启、Recall 未测、后台任务没有物理写入证据</x:v>
      </x:c>
      <x:c r="H29" s="36" t="str">
        <x:v>Stage 4</x:v>
      </x:c>
      <x:c r="I29" s="36" t="str">
        <x:v>Native</x:v>
      </x:c>
      <x:c r="J29" s="36" t="str">
        <x:v>2/4 TB / 64/128 GB / VDB search + ingest/compact</x:v>
      </x:c>
      <x:c r="K29" s="36" t="str">
        <x:v>是</x:v>
      </x:c>
      <x:c r="L29" s="72" t="str">
        <x:v>Not Started</x:v>
      </x:c>
    </x:row>
    <x:row r="30" ht="86" customHeight="1">
      <x:c r="A30" s="71" t="str">
        <x:v>S4-MIX-03</x:v>
      </x:c>
      <x:c r="B30" s="36" t="str">
        <x:v>DLIO + checkpoint + PowerShell</x:v>
      </x:c>
      <x:c r="C30" s="36" t="str">
        <x:v>评价本地训练读取与保存模型同时发生时的带宽和尾延迟</x:v>
      </x:c>
      <x:c r="D30" s="36" t="str">
        <x:v>1. Training solo 1 次
2. 后台 checkpoint 50%/75%/100%
3. 比较 AU/吞吐和写入完成时间</x:v>
      </x:c>
      <x:c r="E30" s="36" t="str">
        <x:v>60–120 分钟</x:v>
      </x:c>
      <x:c r="F30" s="36" t="str">
        <x:v>Start-Job { mlpstorage checkpointing run ... }
mlpstorage training run --model unet3d ...</x:v>
      </x:c>
      <x:c r="G30" s="36" t="str">
        <x:v>数据/结果路径重叠、后台写入失败、AU 变化无监控</x:v>
      </x:c>
      <x:c r="H30" s="36" t="str">
        <x:v>Stage 4</x:v>
      </x:c>
      <x:c r="I30" s="36" t="str">
        <x:v>Hybrid</x:v>
      </x:c>
      <x:c r="J30" s="36" t="str">
        <x:v>2/4 TB / 64/128 GB / Training read + Checkpoint write</x:v>
      </x:c>
      <x:c r="K30" s="36" t="str">
        <x:v>是</x:v>
      </x:c>
      <x:c r="L30" s="72" t="str">
        <x:v>Not Started</x:v>
      </x:c>
    </x:row>
    <x:row r="31" ht="86" customHeight="1">
      <x:c r="A31" s="71" t="str">
        <x:v>S5-SOAK-01</x:v>
      </x:c>
      <x:c r="B31" s="36" t="str">
        <x:v>replay.py + PowerShell monitor</x:v>
      </x:c>
      <x:c r="C31" s="36" t="str">
        <x:v>暴露高占用、SLC 耗尽、GC 和温度对 AI workload 的影响</x:v>
      </x:c>
      <x:c r="D31" s="36" t="str">
        <x:v>1. 每个占用档位执行固定短 workload
2. 连续 3 个窗口比较吞吐和 P99
3. 记录降速及恢复时间</x:v>
      </x:c>
      <x:c r="E31" s="36" t="str">
        <x:v>1TB 2–4h；2TB 4–8h；4TB 8h起</x:v>
      </x:c>
      <x:c r="F31" s="36" t="str">
        <x:v>python -m vdbbench.replay --trace trace.csv ...
Get-Counter ...</x:v>
      </x:c>
      <x:c r="G31" s="36" t="str">
        <x:v>未保留空间、无温度/事件、长时间过程中断未记录</x:v>
      </x:c>
      <x:c r="H31" s="36" t="str">
        <x:v>Stage 5</x:v>
      </x:c>
      <x:c r="I31" s="36" t="str">
        <x:v>Hybrid</x:v>
      </x:c>
      <x:c r="J31" s="36" t="str">
        <x:v>1/2/4 TB / 32/64/128 GB / 50%/80%/90% fill + KV/CKPT/VDB 短压</x:v>
      </x:c>
      <x:c r="K31" s="36" t="str">
        <x:v>是</x:v>
      </x:c>
      <x:c r="L31" s="72" t="str">
        <x:v>Not Started</x:v>
      </x:c>
    </x:row>
    <x:row r="32" ht="86" customHeight="1">
      <x:c r="A32" s="71" t="str">
        <x:v>S5-SOAK-02</x:v>
      </x:c>
      <x:c r="B32" s="36" t="str">
        <x:v>KV + checkpoint + Milvus</x:v>
      </x:c>
      <x:c r="C32" s="36" t="str">
        <x:v>验证多小时混合负载下的错误、热稳定性和性能漂移</x:v>
      </x:c>
      <x:c r="D32" s="36" t="str">
        <x:v>1. Stage 3/4 通过后执行
2. 2TB 4–8h，4TB 8–24h
3. 每小时归档窗口指标</x:v>
      </x:c>
      <x:c r="E32" s="36" t="str">
        <x:v>2TB 4–8h；4TB 8–24h</x:v>
      </x:c>
      <x:c r="F32" s="36" t="str">
        <x:v>Start-Job { mlpstorage kvcache run ... }
Start-Job { mlpstorage checkpointing run ... }</x:v>
      </x:c>
      <x:c r="G32" s="36" t="str">
        <x:v>未通过前置阶段、后台更新/Defender干扰未记录、结果目录污染</x:v>
      </x:c>
      <x:c r="H32" s="36" t="str">
        <x:v>Stage 5</x:v>
      </x:c>
      <x:c r="I32" s="36" t="str">
        <x:v>Hybrid</x:v>
      </x:c>
      <x:c r="J32" s="36" t="str">
        <x:v>2/4 TB / 64/128 GB / KV precondition + 8B checkpoint + VDB ingest</x:v>
      </x:c>
      <x:c r="K32" s="36" t="str">
        <x:v>是</x:v>
      </x:c>
      <x:c r="L32" s="72" t="str">
        <x:v>Not Started</x:v>
      </x:c>
    </x:row>
    <x:row r="33" ht="86" customHeight="1">
      <x:c r="A33" s="71" t="str">
        <x:v>S6-REC-01</x:v>
      </x:c>
      <x:c r="B33" s="36" t="str">
        <x:v>PowerShell + 四类 workload smoke</x:v>
      </x:c>
      <x:c r="C33" s="36" t="str">
        <x:v>验证系统或容器重启后业务能够恢复，且不会遗留脏数据</x:v>
      </x:c>
      <x:c r="D33" s="36" t="str">
        <x:v>1. 分别执行应用重启、Windows reboot-cold、Docker/Milvus restart
2. 重跑 Stage 2 最小 smoke</x:v>
      </x:c>
      <x:c r="E33" s="36" t="str">
        <x:v>45–90 分钟</x:v>
      </x:c>
      <x:c r="F33" s="36" t="str">
        <x:v>Restart-Computer
docker compose restart
mlpstorage validate ...</x:v>
      </x:c>
      <x:c r="G33" s="36" t="str">
        <x:v>孤儿文件、Milvus row count 变化、KV cache 无法清理、启动失败</x:v>
      </x:c>
      <x:c r="H33" s="36" t="str">
        <x:v>Stage 6</x:v>
      </x:c>
      <x:c r="I33" s="36" t="str">
        <x:v>Native</x:v>
      </x:c>
      <x:c r="J33" s="36" t="str">
        <x:v>1/2/4 TB / 32/64/128 GB / warm restart / reboot-cold / Docker restart</x:v>
      </x:c>
      <x:c r="K33" s="36" t="str">
        <x:v>是</x:v>
      </x:c>
      <x:c r="L33" s="72" t="str">
        <x:v>Not Started</x:v>
      </x:c>
    </x:row>
    <x:row r="34" ht="86" customHeight="1">
      <x:c r="A34" s="71" t="str">
        <x:v>S6-REC-02</x:v>
      </x:c>
      <x:c r="B34" s="36" t="str">
        <x:v>mlpstorage validate + hashlib + Milvus</x:v>
      </x:c>
      <x:c r="C34" s="36" t="str">
        <x:v>将“性能通过”与“数据仍可用”绑定，避免静默损坏</x:v>
      </x:c>
      <x:c r="D34" s="36" t="str">
        <x:v>1. Checkpoint hash/大小
2. Training 清单/样本数
3. KV 孤儿文件
4. VDB row count/Recall
5. 再跑最小 smoke</x:v>
      </x:c>
      <x:c r="E34" s="36" t="str">
        <x:v>30–60 分钟</x:v>
      </x:c>
      <x:c r="F34" s="36" t="str">
        <x:v>mlpstorage validate ...
Get-FileHash &lt;checkpoint&gt; -Algorithm SHA256</x:v>
      </x:c>
      <x:c r="G34" s="36" t="str">
        <x:v>任何 hash/row count/样本数不一致、缺少 integrity.json</x:v>
      </x:c>
      <x:c r="H34" s="36" t="str">
        <x:v>Stage 6</x:v>
      </x:c>
      <x:c r="I34" s="36" t="str">
        <x:v>Native</x:v>
      </x:c>
      <x:c r="J34" s="36" t="str">
        <x:v>1/2/4 TB / 32/64/128 GB / hash、样本数、row count、固定 batch 重读</x:v>
      </x:c>
      <x:c r="K34" s="36" t="str">
        <x:v>是</x:v>
      </x:c>
      <x:c r="L34" s="72" t="str">
        <x:v>Not Started</x:v>
      </x:c>
    </x:row>
  </x:sheetData>
  <x:mergeCells>
    <x:mergeCell ref="A1:L1"/>
    <x:mergeCell ref="A2:L2"/>
  </x:mergeCells>
  <x:dataValidations count="1">
    <x:dataValidation type="list" sqref="L6:L34">
      <x:formula1>"Not Started,Pass,Conditional,Invalid,Not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e3eef78b7847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4" hidden="0" customWidth="1"/>
    <x:col min="5" max="5" width="28" hidden="0" customWidth="1"/>
    <x:col min="6" max="6" width="36" hidden="0" customWidth="1"/>
    <x:col min="7" max="7" width="42" hidden="0" customWidth="1"/>
    <x:col min="8" max="8" width="14" hidden="0" customWidth="1"/>
    <x:col min="9" max="9" width="34" hidden="0" customWidth="1"/>
    <x:col min="10" max="10" width="34" hidden="0" customWidth="1"/>
    <x:col min="11" max="11" width="36" hidden="0" customWidth="1"/>
    <x:col min="12" max="12" width="38" hidden="0" customWidth="1"/>
    <x:col min="13" max="13" width="13" hidden="0" customWidth="1"/>
  </x:cols>
  <x:sheetData>
    <x:row r="1" ht="30" customHeight="1">
      <x:c r="A1" s="43" t="str">
        <x:v>可选扩展测试用例（8 cases）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34" customHeight="1">
      <x:c r="A2" s="44" t="str">
        <x:v>主矩阵通过后再执行；覆盖扩展模型、对象大小、压缩索引、RAG行为和长期占用率。结果不与核心29 case混合。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</x:row>
    <x:row r="5" ht="32" customHeight="1">
      <x:c r="A5" s="48" t="str">
        <x:v>Case ID</x:v>
      </x:c>
      <x:c r="B5" s="48" t="str">
        <x:v>适用档位</x:v>
      </x:c>
      <x:c r="C5" s="48" t="str">
        <x:v>家族</x:v>
      </x:c>
      <x:c r="D5" s="48" t="str">
        <x:v>执行模式</x:v>
      </x:c>
      <x:c r="E5" s="48" t="str">
        <x:v>模型/工作负载</x:v>
      </x:c>
      <x:c r="F5" s="48" t="str">
        <x:v>测试目的</x:v>
      </x:c>
      <x:c r="G5" s="48" t="str">
        <x:v>测试步骤</x:v>
      </x:c>
      <x:c r="H5" s="48" t="str">
        <x:v>建议时长</x:v>
      </x:c>
      <x:c r="I5" s="48" t="str">
        <x:v>工具/脚本</x:v>
      </x:c>
      <x:c r="J5" s="48" t="str">
        <x:v>监控与指标</x:v>
      </x:c>
      <x:c r="K5" s="48" t="str">
        <x:v>测试标准</x:v>
      </x:c>
      <x:c r="L5" s="48" t="str">
        <x:v>为何为可选</x:v>
      </x:c>
      <x:c r="M5" s="48" t="str">
        <x:v>结果</x:v>
      </x:c>
    </x:row>
    <x:row r="6" ht="86" customHeight="1">
      <x:c r="A6" s="71" t="str">
        <x:v>O-TRN-04</x:v>
      </x:c>
      <x:c r="B6" s="36" t="str">
        <x:v>P3</x:v>
      </x:c>
      <x:c r="C6" s="36" t="str">
        <x:v>Training</x:v>
      </x:c>
      <x:c r="D6" s="36" t="str">
        <x:v>Scaled</x:v>
      </x:c>
      <x:c r="E6" s="36" t="str">
        <x:v>CosmoFlow；约1.38TiB TFRecord</x:v>
      </x:c>
      <x:c r="F6" s="36" t="str">
        <x:v>覆盖超大 TFRecord 和长时间 shuffle 读取</x:v>
      </x:c>
      <x:c r="G6" s="36" t="str">
        <x:v>1. P3 4TB 做容量门禁
2. full 或 640–1200GiB scaled
3. warm-up+3 trials</x:v>
      </x:c>
      <x:c r="H6" s="36" t="str">
        <x:v>4–8 h</x:v>
      </x:c>
      <x:c r="I6" s="36" t="str">
        <x:v>mlpstorage training run --model cosmoflow ...</x:v>
      </x:c>
      <x:c r="J6" s="36" t="str">
        <x:v>吞吐/AU、read bandwidth、queue、温度</x:v>
      </x:c>
      <x:c r="K6" s="36" t="str">
        <x:v>数据完整；AU≥0.70；scaled 与 full 分开</x:v>
      </x:c>
      <x:c r="L6" s="36" t="str">
        <x:v>体量大、对 P1/P2 不经济，不影响代表性基线</x:v>
      </x:c>
      <x:c r="M6" s="72" t="str">
        <x:v>Not Started</x:v>
      </x:c>
    </x:row>
    <x:row r="7" ht="86" customHeight="1">
      <x:c r="A7" s="71" t="str">
        <x:v>O-TRN-05</x:v>
      </x:c>
      <x:c r="B7" s="36" t="str">
        <x:v>P3</x:v>
      </x:c>
      <x:c r="C7" s="36" t="str">
        <x:v>Training</x:v>
      </x:c>
      <x:c r="D7" s="36" t="str">
        <x:v>Trace/Replay</x:v>
      </x:c>
      <x:c r="E7" s="36" t="str">
        <x:v>DLRM / Flux Parquet</x:v>
      </x:c>
      <x:c r="F7" s="36" t="str">
        <x:v>覆盖列式数据、row-group 和列裁剪的 metadata 行为</x:v>
      </x:c>
      <x:c r="G7" s="36" t="str">
        <x:v>1. 生成或录制 row-group 访问
2. 按原节奏 replay
3. 对比列裁剪比例</x:v>
      </x:c>
      <x:c r="H7" s="36" t="str">
        <x:v>2–4 h</x:v>
      </x:c>
      <x:c r="I7" s="36" t="str">
        <x:v>mlpstorage training run --model dlrm/flux ...</x:v>
      </x:c>
      <x:c r="J7" s="36" t="str">
        <x:v>metadata IOPS、read amplification、P99</x:v>
      </x:c>
      <x:c r="K7" s="36" t="str">
        <x:v>trace 完整；逻辑/物理 bytes 分开</x:v>
      </x:c>
      <x:c r="L7" s="36" t="str">
        <x:v>Windows/容量组合复杂，先以 trace 作为扩展</x:v>
      </x:c>
      <x:c r="M7" s="72" t="str">
        <x:v>Not Started</x:v>
      </x:c>
    </x:row>
    <x:row r="8" ht="86" customHeight="1">
      <x:c r="A8" s="71" t="str">
        <x:v>O-CKPT-04</x:v>
      </x:c>
      <x:c r="B8" s="36" t="str">
        <x:v>P3</x:v>
      </x:c>
      <x:c r="C8" s="36" t="str">
        <x:v>Checkpoint</x:v>
      </x:c>
      <x:c r="D8" s="36" t="str">
        <x:v>Hybrid</x:v>
      </x:c>
      <x:c r="E8" s="36" t="str">
        <x:v>Llama3-405B subset；约94GB</x:v>
      </x:c>
      <x:c r="F8" s="36" t="str">
        <x:v>比较超大模型 shard 形态，不证明本机能运行 405B</x:v>
      </x:c>
      <x:c r="G8" s="36" t="str">
        <x:v>1. 4TB 单轮 subset
2. hash/恢复
3. 如无 8-rank 环境则 replay</x:v>
      </x:c>
      <x:c r="H8" s="36" t="str">
        <x:v>60–120 min</x:v>
      </x:c>
      <x:c r="I8" s="36" t="str">
        <x:v>mlpstorage checkpointing run --model llama3-405b --subset ...</x:v>
      </x:c>
      <x:c r="J8" s="36" t="str">
        <x:v>shard bytes、restore P99、温度</x:v>
      </x:c>
      <x:c r="K8" s="36" t="str">
        <x:v>标记 subset；hash 一致；不得称 full</x:v>
      </x:c>
      <x:c r="L8" s="36" t="str">
        <x:v>用于扩展 shard 形态，主结论由 8B/70B subset承担</x:v>
      </x:c>
      <x:c r="M8" s="72" t="str">
        <x:v>Not Started</x:v>
      </x:c>
    </x:row>
    <x:row r="9" ht="86" customHeight="1">
      <x:c r="A9" s="71" t="str">
        <x:v>O-CKPT-05</x:v>
      </x:c>
      <x:c r="B9" s="36" t="str">
        <x:v>P3</x:v>
      </x:c>
      <x:c r="C9" s="36" t="str">
        <x:v>Checkpoint</x:v>
      </x:c>
      <x:c r="D9" s="36" t="str">
        <x:v>Trace/Replay</x:v>
      </x:c>
      <x:c r="E9" s="36" t="str">
        <x:v>Llama3-1T 或 405B full trace</x:v>
      </x:c>
      <x:c r="F9" s="36" t="str">
        <x:v>评价 TB 级 checkpoint 对 SSD 的逻辑压力和回放上限</x:v>
      </x:c>
      <x:c r="G9" s="36" t="str">
        <x:v>1. 录制写/读 trace
2. 1x/2x 回放
3. 不生成 full 文件集</x:v>
      </x:c>
      <x:c r="H9" s="36" t="str">
        <x:v>1–2 h</x:v>
      </x:c>
      <x:c r="I9" s="36" t="str">
        <x:v>checkpoint trace exporter + replay.py</x:v>
      </x:c>
      <x:c r="J9" s="36" t="str">
        <x:v>trace bytes、write/read P99、queue</x:v>
      </x:c>
      <x:c r="K9" s="36" t="str">
        <x:v>仅作为 replay；不与 native 分数混合</x:v>
      </x:c>
      <x:c r="L9" s="36" t="str">
        <x:v>full 规模超出消费级单盘合理工作集</x:v>
      </x:c>
      <x:c r="M9" s="72" t="str">
        <x:v>Not Started</x:v>
      </x:c>
    </x:row>
    <x:row r="10" ht="86" customHeight="1">
      <x:c r="A10" s="71" t="str">
        <x:v>O-KV-04</x:v>
      </x:c>
      <x:c r="B10" s="36" t="str">
        <x:v>P1/P2/P3</x:v>
      </x:c>
      <x:c r="C10" s="36" t="str">
        <x:v>KV Cache</x:v>
      </x:c>
      <x:c r="D10" s="36" t="str">
        <x:v>Trace/Replay</x:v>
      </x:c>
      <x:c r="E10" s="36" t="str">
        <x:v>Llama2-7B / Mistral-7B / DeepSeek-V3 / Qwen3-32B</x:v>
      </x:c>
      <x:c r="F10" s="36" t="str">
        <x:v>覆盖约24–512KiB/token 的对象大小分布</x:v>
      </x:c>
      <x:c r="G10" s="36" t="str">
        <x:v>1. 分别录制对象大小
2. 按 Tier-2 过滤
3. 1x/2x replay
4. 对比大小与P99</x:v>
      </x:c>
      <x:c r="H10" s="36" t="str">
        <x:v>60–120 min</x:v>
      </x:c>
      <x:c r="I10" s="36" t="str">
        <x:v>kv_cache.cli --io-trace-log ... + replay_trace.py</x:v>
      </x:c>
      <x:c r="J10" s="36" t="str">
        <x:v>object size、P95/P99、logical/device bytes</x:v>
      </x:c>
      <x:c r="K10" s="36" t="str">
        <x:v>trace 字段完整；回放无错误；结果分模型</x:v>
      </x:c>
      <x:c r="L10" s="36" t="str">
        <x:v>第一轮固定 8B，避免对象大小、请求生成和 SSD 变量同时变化</x:v>
      </x:c>
      <x:c r="M10" s="72" t="str">
        <x:v>Not Started</x:v>
      </x:c>
    </x:row>
    <x:row r="11" ht="86" customHeight="1">
      <x:c r="A11" s="71" t="str">
        <x:v>O-KV-05</x:v>
      </x:c>
      <x:c r="B11" s="36" t="str">
        <x:v>P2/P3</x:v>
      </x:c>
      <x:c r="C11" s="36" t="str">
        <x:v>KV Cache</x:v>
      </x:c>
      <x:c r="D11" s="36" t="str">
        <x:v>Native</x:v>
      </x:c>
      <x:c r="E11" s="36" t="str">
        <x:v>RAG / prefix cache / multi-turn / autoscaler</x:v>
      </x:c>
      <x:c r="F11" s="36" t="str">
        <x:v>评价真实应用模式而非单一合成请求</x:v>
      </x:c>
      <x:c r="G11" s="36" t="str">
        <x:v>1. 在 K1/K2 稳定后，每次只启用一个变量
2. 记录命中率和 eviction</x:v>
      </x:c>
      <x:c r="H11" s="36" t="str">
        <x:v>2–4 h</x:v>
      </x:c>
      <x:c r="I11" s="36" t="str">
        <x:v>python -m kv_cache.cli --persona coding --rag ...</x:v>
      </x:c>
      <x:c r="J11" s="36" t="str">
        <x:v>tokens/s、cache hit、P99.9、eviction、queue</x:v>
      </x:c>
      <x:c r="K11" s="36" t="str">
        <x:v>相对 baseline 的退化可解释；无异常 eviction</x:v>
      </x:c>
      <x:c r="L11" s="36" t="str">
        <x:v>组合维度高，先作为扩展变量而非主矩阵</x:v>
      </x:c>
      <x:c r="M11" s="72" t="str">
        <x:v>Not Started</x:v>
      </x:c>
    </x:row>
    <x:row r="12" ht="86" customHeight="1">
      <x:c r="A12" s="71" t="str">
        <x:v>O-VDB-03</x:v>
      </x:c>
      <x:c r="B12" s="36" t="str">
        <x:v>P2/P3</x:v>
      </x:c>
      <x:c r="C12" s="36" t="str">
        <x:v>VectorDB</x:v>
      </x:c>
      <x:c r="D12" s="36" t="str">
        <x:v>Native</x:v>
      </x:c>
      <x:c r="E12" s="36" t="str">
        <x:v>1M×512 AISAQ</x:v>
      </x:c>
      <x:c r="F12" s="36" t="str">
        <x:v>分析降维与压缩索引对容量、Recall、QPS 的影响</x:v>
      </x:c>
      <x:c r="G12" s="36" t="str">
        <x:v>1. 同 query set
2. 与 V2 锁定 Recall@K
3. 分阶段计时 build/load/search</x:v>
      </x:c>
      <x:c r="H12" s="36" t="str">
        <x:v>2–4 h</x:v>
      </x:c>
      <x:c r="I12" s="36" t="str">
        <x:v>mlpstorage vectordb run --index aisaq --dim 512 ...</x:v>
      </x:c>
      <x:c r="J12" s="36" t="str">
        <x:v>Recall@K、QPS/P99、index bytes、PhysicalDisk</x:v>
      </x:c>
      <x:c r="K12" s="36" t="str">
        <x:v>Recall 达标；容量/IO 放大有记录</x:v>
      </x:c>
      <x:c r="L12" s="36" t="str">
        <x:v>压缩索引依赖和参数更复杂，不作为首轮最低通用基线</x:v>
      </x:c>
      <x:c r="M12" s="72" t="str">
        <x:v>Not Started</x:v>
      </x:c>
    </x:row>
    <x:row r="13" ht="86" customHeight="1">
      <x:c r="A13" s="71" t="str">
        <x:v>O-SOAK-03</x:v>
      </x:c>
      <x:c r="B13" s="36" t="str">
        <x:v>P3</x:v>
      </x:c>
      <x:c r="C13" s="36" t="str">
        <x:v>系统稳定性</x:v>
      </x:c>
      <x:c r="D13" s="36" t="str">
        <x:v>System Gate</x:v>
      </x:c>
      <x:c r="E13" s="36" t="str">
        <x:v>90% fill，8–24h soak</x:v>
      </x:c>
      <x:c r="F13" s="36" t="str">
        <x:v>观察长期 GC、thermal throttle、Windows 事件和恢复时间</x:v>
      </x:c>
      <x:c r="G13" s="36" t="str">
        <x:v>1. Stage 5-01 通过后，将盘占用至90%
2. 每小时归档
3. 结束后做 S6 recovery</x:v>
      </x:c>
      <x:c r="H13" s="36" t="str">
        <x:v>8–24 h</x:v>
      </x:c>
      <x:c r="I13" s="36" t="str">
        <x:v>PowerShell fill script + mixed workload jobs</x:v>
      </x:c>
      <x:c r="J13" s="36" t="str">
        <x:v>温度、throttle、P99、WHEA/StorPort、空间</x:v>
      </x:c>
      <x:c r="K13" s="36" t="str">
        <x:v>无数据损坏/持续错误；恢复后偏差≤10%</x:v>
      </x:c>
      <x:c r="L13" s="36" t="str">
        <x:v>写入寿命和时间成本高，需设备主结论前置通过</x:v>
      </x:c>
      <x:c r="M13" s="72" t="str">
        <x:v>Not Started</x:v>
      </x:c>
    </x:row>
  </x:sheetData>
  <x:mergeCells>
    <x:mergeCell ref="A1:M1"/>
    <x:mergeCell ref="A2:M2"/>
  </x:mergeCells>
  <x:dataValidations count="1">
    <x:dataValidation type="list" sqref="M6:M13">
      <x:formula1>"Not Started,Pass,Conditional,Invalid,Not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472fc9898f43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30" customHeight="1">
      <x:c r="A1" s="43" t="str">
        <x:v>配置基线与选择理由</x:v>
      </x:c>
      <x:c r="B1" s="43"/>
      <x:c r="C1" s="43"/>
      <x:c r="D1" s="43"/>
      <x:c r="E1" s="43"/>
      <x:c r="F1" s="43"/>
    </x:row>
    <x:row r="2" ht="34" customHeight="1">
      <x:c r="A2" s="44" t="str">
        <x:v>固定容量、内存、模型规模、工作集预算和执行口径；不同档位结果分开比较。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>
      <x:c r="A4" s="45"/>
      <x:c r="B4" s="45"/>
      <x:c r="C4" s="45"/>
      <x:c r="D4" s="45"/>
      <x:c r="E4" s="45"/>
      <x:c r="F4" s="45"/>
    </x:row>
    <x:row r="5" ht="32" customHeight="1">
      <x:c r="A5" s="48" t="str">
        <x:v>类别</x:v>
      </x:c>
      <x:c r="B5" s="48" t="str">
        <x:v>配置项</x:v>
      </x:c>
      <x:c r="C5" s="48" t="str">
        <x:v>P1：入门 AI PC</x:v>
      </x:c>
      <x:c r="D5" s="48" t="str">
        <x:v>P2：主流 AI PC</x:v>
      </x:c>
      <x:c r="E5" s="48" t="str">
        <x:v>P3：高容量 AI PC</x:v>
      </x:c>
      <x:c r="F5" s="48" t="str">
        <x:v>选择依据/使用说明</x:v>
      </x:c>
    </x:row>
    <x:row r="6" ht="74" customHeight="1">
      <x:c r="A6" s="36" t="str">
        <x:v>系统档位</x:v>
      </x:c>
      <x:c r="B6" s="36" t="str">
        <x:v>SSD容量</x:v>
      </x:c>
      <x:c r="C6" s="36" t="str">
        <x:v>1 TB</x:v>
      </x:c>
      <x:c r="D6" s="36" t="str">
        <x:v>2 TB</x:v>
      </x:c>
      <x:c r="E6" s="36" t="str">
        <x:v>4 TB</x:v>
      </x:c>
      <x:c r="F6" s="36" t="str">
        <x:v>消费级 NVMe；不以协议符合性或企业级耐久度为目标。</x:v>
      </x:c>
    </x:row>
    <x:row r="7" ht="74" customHeight="1">
      <x:c r="A7" s="36" t="str">
        <x:v>系统档位</x:v>
      </x:c>
      <x:c r="B7" s="36" t="str">
        <x:v>显存+系统内存</x:v>
      </x:c>
      <x:c r="C7" s="36" t="str">
        <x:v>32 GB</x:v>
      </x:c>
      <x:c r="D7" s="36" t="str">
        <x:v>64 GB</x:v>
      </x:c>
      <x:c r="E7" s="36" t="str">
        <x:v>128 GB</x:v>
      </x:c>
      <x:c r="F7" s="36" t="str">
        <x:v>记录真实 VRAM/RAM；档位只用于分层，不替代实际参数。</x:v>
      </x:c>
    </x:row>
    <x:row r="8" ht="74" customHeight="1">
      <x:c r="A8" s="36" t="str">
        <x:v>容量门禁</x:v>
      </x:c>
      <x:c r="B8" s="36" t="str">
        <x:v>默认保留空间</x:v>
      </x:c>
      <x:c r="C8" s="36" t="str">
        <x:v>20%</x:v>
      </x:c>
      <x:c r="D8" s="36" t="str">
        <x:v>20%</x:v>
      </x:c>
      <x:c r="E8" s="36" t="str">
        <x:v>15–20%</x:v>
      </x:c>
      <x:c r="F8" s="36" t="str">
        <x:v>禁止填满整盘；另留 Windows、Docker、结果和临时空间。</x:v>
      </x:c>
    </x:row>
    <x:row r="9" ht="74" customHeight="1">
      <x:c r="A9" s="36" t="str">
        <x:v>容量门禁</x:v>
      </x:c>
      <x:c r="B9" s="36" t="str">
        <x:v>建议最大工作区</x:v>
      </x:c>
      <x:c r="C9" s="36" t="str">
        <x:v>550–650 GiB</x:v>
      </x:c>
      <x:c r="D9" s="36" t="str">
        <x:v>1.1–1.35 TiB</x:v>
      </x:c>
      <x:c r="E9" s="36" t="str">
        <x:v>2.2–2.8 TiB</x:v>
      </x:c>
      <x:c r="F9" s="36" t="str">
        <x:v>以 active_workset + temp + results + reserve ≤ usable 为准。</x:v>
      </x:c>
    </x:row>
    <x:row r="10" ht="74" customHeight="1">
      <x:c r="A10" s="36" t="str">
        <x:v>Training</x:v>
      </x:c>
      <x:c r="B10" s="36" t="str">
        <x:v>首选模型</x:v>
      </x:c>
      <x:c r="C10" s="36" t="str">
        <x:v>UNet3D/RetinaNet scaled</x:v>
      </x:c>
      <x:c r="D10" s="36" t="str">
        <x:v>UNet3D/RetinaNet + ResNet50</x:v>
      </x:c>
      <x:c r="E10" s="36" t="str">
        <x:v>UNet3D/RetinaNet + CosmoFlow扩展</x:v>
      </x:c>
      <x:c r="F10" s="36" t="str">
        <x:v>分别覆盖大文件、小文件、中等TFRecord和可选超大TFRecord。</x:v>
      </x:c>
    </x:row>
    <x:row r="11" ht="74" customHeight="1">
      <x:c r="A11" s="36" t="str">
        <x:v>Checkpoint</x:v>
      </x:c>
      <x:c r="B11" s="36" t="str">
        <x:v>首选模型</x:v>
      </x:c>
      <x:c r="C11" s="36" t="str">
        <x:v>Llama3-8B 单轮</x:v>
      </x:c>
      <x:c r="D11" s="36" t="str">
        <x:v>Llama3-8B + 70B subset</x:v>
      </x:c>
      <x:c r="E11" s="36" t="str">
        <x:v>8B 10/10 + 70B subset 多轮</x:v>
      </x:c>
      <x:c r="F11" s="36" t="str">
        <x:v>8B约105GB；70B subset约114GB；full只做trace/replay。</x:v>
      </x:c>
    </x:row>
    <x:row r="12" ht="74" customHeight="1">
      <x:c r="A12" s="36" t="str">
        <x:v>KV Cache</x:v>
      </x:c>
      <x:c r="B12" s="36" t="str">
        <x:v>首选配置</x:v>
      </x:c>
      <x:c r="C12" s="36" t="str">
        <x:v>8B NVMe-only</x:v>
      </x:c>
      <x:c r="D12" s="36" t="str">
        <x:v>8B NVMe-only + CPU spill</x:v>
      </x:c>
      <x:c r="E12" s="36" t="str">
        <x:v>8B/70B trace stress</x:v>
      </x:c>
      <x:c r="F12" s="36" t="str">
        <x:v>先固定seed=42、duration=300s、3–5 trials，再增加 persona/RAG。</x:v>
      </x:c>
    </x:row>
    <x:row r="13" ht="74" customHeight="1">
      <x:c r="A13" s="36" t="str">
        <x:v>VectorDB</x:v>
      </x:c>
      <x:c r="B13" s="36" t="str">
        <x:v>首选规模</x:v>
      </x:c>
      <x:c r="C13" s="36" t="str">
        <x:v>1M以内</x:v>
      </x:c>
      <x:c r="D13" s="36" t="str">
        <x:v>1M/5M scaled</x:v>
      </x:c>
      <x:c r="E13" s="36" t="str">
        <x:v>1M + 10M DISKANN</x:v>
      </x:c>
      <x:c r="F13" s="36" t="str">
        <x:v>HNSW/DISKANN先锁定Recall，再比较QPS/P99。</x:v>
      </x:c>
    </x:row>
    <x:row r="14" ht="74" customHeight="1">
      <x:c r="A14" s="36" t="str">
        <x:v>执行口径</x:v>
      </x:c>
      <x:c r="B14" s="36" t="str">
        <x:v>Native</x:v>
      </x:c>
      <x:c r="C14" s="36" t="str">
        <x:v>必跑</x:v>
      </x:c>
      <x:c r="D14" s="36" t="str">
        <x:v>必跑</x:v>
      </x:c>
      <x:c r="E14" s="36" t="str">
        <x:v>必跑</x:v>
      </x:c>
      <x:c r="F14" s="36" t="str">
        <x:v>真实应用直接访问DUT；可形成业务正确性和性能结论。</x:v>
      </x:c>
    </x:row>
    <x:row r="15" ht="74" customHeight="1">
      <x:c r="A15" s="36" t="str">
        <x:v>执行口径</x:v>
      </x:c>
      <x:c r="B15" s="36" t="str">
        <x:v>Scaled</x:v>
      </x:c>
      <x:c r="C15" s="36" t="str">
        <x:v>常用</x:v>
      </x:c>
      <x:c r="D15" s="36" t="str">
        <x:v>条件使用</x:v>
      </x:c>
      <x:c r="E15" s="36" t="str">
        <x:v>少量</x:v>
      </x:c>
      <x:c r="F15" s="36" t="str">
        <x:v>保持访问形态但降低数据/对象规模；必须单独标记。</x:v>
      </x:c>
    </x:row>
    <x:row r="16" ht="74" customHeight="1">
      <x:c r="A16" s="36" t="str">
        <x:v>执行口径</x:v>
      </x:c>
      <x:c r="B16" s="36" t="str">
        <x:v>Trace/Replay</x:v>
      </x:c>
      <x:c r="C16" s="36" t="str">
        <x:v>I/O校准/大模型</x:v>
      </x:c>
      <x:c r="D16" s="36" t="str">
        <x:v>大对象扩展</x:v>
      </x:c>
      <x:c r="E16" s="36" t="str">
        <x:v>full压力扩展</x:v>
      </x:c>
      <x:c r="F16" s="36" t="str">
        <x:v>只证明SSD回放能力，不替代应用端到端结果。</x:v>
      </x:c>
    </x:row>
    <x:row r="17" ht="74" customHeight="1">
      <x:c r="A17" s="36" t="str">
        <x:v>执行口径</x:v>
      </x:c>
      <x:c r="B17" s="36" t="str">
        <x:v>Hybrid</x:v>
      </x:c>
      <x:c r="C17" s="36" t="str">
        <x:v>按容量门禁</x:v>
      </x:c>
      <x:c r="D17" s="36" t="str">
        <x:v>按容量门禁</x:v>
      </x:c>
      <x:c r="E17" s="36" t="str">
        <x:v>按容量门禁</x:v>
      </x:c>
      <x:c r="F17" s="36" t="str">
        <x:v>native、scaled、trace按设备容量选择并分开统计。</x:v>
      </x:c>
    </x:row>
    <x:row r="18">
      <x:c r="A18" s="45"/>
      <x:c r="B18" s="45"/>
      <x:c r="C18" s="45"/>
      <x:c r="D18" s="45"/>
      <x:c r="E18" s="45"/>
      <x:c r="F18" s="45"/>
    </x:row>
    <x:row r="19">
      <x:c r="A19" s="45"/>
      <x:c r="B19" s="45"/>
      <x:c r="C19" s="45"/>
      <x:c r="D19" s="45"/>
      <x:c r="E19" s="45"/>
      <x:c r="F19" s="45"/>
    </x:row>
    <x:row r="20">
      <x:c r="A20" s="49" t="str">
        <x:v>工作区预算计算器（示例）</x:v>
      </x:c>
      <x:c r="B20" s="49"/>
      <x:c r="C20" s="49"/>
      <x:c r="D20" s="49"/>
      <x:c r="E20" s="49"/>
      <x:c r="F20" s="49"/>
    </x:row>
    <x:row r="21" ht="32" customHeight="1">
      <x:c r="A21" s="48" t="str">
        <x:v>档位</x:v>
      </x:c>
      <x:c r="B21" s="48" t="str">
        <x:v>SSD容量GiB</x:v>
      </x:c>
      <x:c r="C21" s="48" t="str">
        <x:v>保留比例</x:v>
      </x:c>
      <x:c r="D21" s="48" t="str">
        <x:v>临时/结果预算GiB</x:v>
      </x:c>
      <x:c r="E21" s="48" t="str">
        <x:v>建议可用工作区GiB</x:v>
      </x:c>
      <x:c r="F21" s="48" t="str">
        <x:v>计算公式</x:v>
      </x:c>
    </x:row>
    <x:row r="22">
      <x:c r="A22" s="36" t="str">
        <x:v>P1</x:v>
      </x:c>
      <x:c r="B22" s="59" t="n">
        <x:v>1024</x:v>
      </x:c>
      <x:c r="C22" s="60" t="n">
        <x:v>0.2</x:v>
      </x:c>
      <x:c r="D22" s="59" t="n">
        <x:v>250</x:v>
      </x:c>
      <x:c r="E22" s="59" t="n">
        <x:f>B22*(1-C22)-D22</x:f>
        <x:v>569.2</x:v>
      </x:c>
      <x:c r="F22" s="36" t="str">
        <x:v>容量×(1-保留)-临时/结果</x:v>
      </x:c>
    </x:row>
    <x:row r="23">
      <x:c r="A23" s="36" t="str">
        <x:v>P2</x:v>
      </x:c>
      <x:c r="B23" s="59" t="n">
        <x:v>2048</x:v>
      </x:c>
      <x:c r="C23" s="60" t="n">
        <x:v>0.2</x:v>
      </x:c>
      <x:c r="D23" s="59" t="n">
        <x:v>450</x:v>
      </x:c>
      <x:c r="E23" s="59" t="n">
        <x:f>B23*(1-C23)-D23</x:f>
        <x:v>1188.4</x:v>
      </x:c>
      <x:c r="F23" s="36" t="str">
        <x:v>容量×(1-保留)-临时/结果</x:v>
      </x:c>
    </x:row>
    <x:row r="24">
      <x:c r="A24" s="36" t="str">
        <x:v>P3</x:v>
      </x:c>
      <x:c r="B24" s="59" t="n">
        <x:v>4096</x:v>
      </x:c>
      <x:c r="C24" s="60" t="n">
        <x:v>0.2</x:v>
      </x:c>
      <x:c r="D24" s="59" t="n">
        <x:v>800</x:v>
      </x:c>
      <x:c r="E24" s="59" t="n">
        <x:f>B24*(1-C24)-D24</x:f>
        <x:v>2476.8</x:v>
      </x:c>
      <x:c r="F24" s="36" t="str">
        <x:v>容量×(1-保留)-临时/结果</x:v>
      </x:c>
    </x:row>
    <x:row r="25">
      <x:c r="A25" s="45"/>
      <x:c r="B25" s="45"/>
      <x:c r="C25" s="45"/>
      <x:c r="D25" s="45"/>
      <x:c r="E25" s="45"/>
      <x:c r="F25" s="45"/>
    </x:row>
    <x:row r="26">
      <x:c r="A26" s="45"/>
      <x:c r="B26" s="45"/>
      <x:c r="C26" s="45"/>
      <x:c r="D26" s="45"/>
      <x:c r="E26" s="45"/>
      <x:c r="F26" s="45"/>
    </x:row>
    <x:row r="27">
      <x:c r="A27" s="49" t="str">
        <x:v>模型选择简表</x:v>
      </x:c>
      <x:c r="B27" s="49"/>
      <x:c r="C27" s="49"/>
      <x:c r="D27" s="49"/>
      <x:c r="E27" s="49"/>
      <x:c r="F27" s="49"/>
    </x:row>
    <x:row r="28" ht="32" customHeight="1">
      <x:c r="A28" s="48" t="str">
        <x:v>家族</x:v>
      </x:c>
      <x:c r="B28" s="48" t="str">
        <x:v>优先模型</x:v>
      </x:c>
      <x:c r="C28" s="48" t="str">
        <x:v>工作集/对象特征</x:v>
      </x:c>
      <x:c r="D28" s="48" t="str">
        <x:v>P1</x:v>
      </x:c>
      <x:c r="E28" s="48" t="str">
        <x:v>P2</x:v>
      </x:c>
      <x:c r="F28" s="48" t="str">
        <x:v>P3/扩展理由</x:v>
      </x:c>
    </x:row>
    <x:row r="29">
      <x:c r="A29" s="36" t="str">
        <x:v>Training</x:v>
      </x:c>
      <x:c r="B29" s="36" t="str">
        <x:v>UNet3D</x:v>
      </x:c>
      <x:c r="C29" s="36" t="str">
        <x:v>NPZ大文件；持续读取</x:v>
      </x:c>
      <x:c r="D29" s="36" t="str">
        <x:v>scaled</x:v>
      </x:c>
      <x:c r="E29" s="36" t="str">
        <x:v>native/scaled</x:v>
      </x:c>
      <x:c r="F29" s="36" t="str">
        <x:v>native+reader sweep；大文件带宽</x:v>
      </x:c>
    </x:row>
    <x:row r="30">
      <x:c r="A30" s="36" t="str">
        <x:v>Training</x:v>
      </x:c>
      <x:c r="B30" s="36" t="str">
        <x:v>RetinaNet</x:v>
      </x:c>
      <x:c r="C30" s="36" t="str">
        <x:v>JPEG小文件；约315KiB/文件</x:v>
      </x:c>
      <x:c r="D30" s="36" t="str">
        <x:v>scaled</x:v>
      </x:c>
      <x:c r="E30" s="36" t="str">
        <x:v>native</x:v>
      </x:c>
      <x:c r="F30" s="36" t="str">
        <x:v>native；metadata/IOPS</x:v>
      </x:c>
    </x:row>
    <x:row r="31">
      <x:c r="A31" s="36" t="str">
        <x:v>Training</x:v>
      </x:c>
      <x:c r="B31" s="36" t="str">
        <x:v>ResNet50</x:v>
      </x:c>
      <x:c r="C31" s="36" t="str">
        <x:v>TFRecord；约136.8GiB</x:v>
      </x:c>
      <x:c r="D31" s="36" t="str">
        <x:v>native</x:v>
      </x:c>
      <x:c r="E31" s="36" t="str">
        <x:v>native</x:v>
      </x:c>
      <x:c r="F31" s="36" t="str">
        <x:v>native；中等对象混合读取</x:v>
      </x:c>
    </x:row>
    <x:row r="32">
      <x:c r="A32" s="36" t="str">
        <x:v>Checkpoint</x:v>
      </x:c>
      <x:c r="B32" s="36" t="str">
        <x:v>Llama3-8B</x:v>
      </x:c>
      <x:c r="C32" s="36" t="str">
        <x:v>约105GB；大块写读</x:v>
      </x:c>
      <x:c r="D32" s="36" t="str">
        <x:v>1轮</x:v>
      </x:c>
      <x:c r="E32" s="36" t="str">
        <x:v>3轮</x:v>
      </x:c>
      <x:c r="F32" s="36" t="str">
        <x:v>10/10 + burst；消费级主线</x:v>
      </x:c>
    </x:row>
    <x:row r="33">
      <x:c r="A33" s="36" t="str">
        <x:v>KV Cache</x:v>
      </x:c>
      <x:c r="B33" s="36" t="str">
        <x:v>Llama3.1-8B</x:v>
      </x:c>
      <x:c r="C33" s="36" t="str">
        <x:v>128KiB/token；高并发</x:v>
      </x:c>
      <x:c r="D33" s="36" t="str">
        <x:v>native</x:v>
      </x:c>
      <x:c r="E33" s="36" t="str">
        <x:v>native</x:v>
      </x:c>
      <x:c r="F33" s="36" t="str">
        <x:v>native+trace stress；NVMe/spill</x:v>
      </x:c>
    </x:row>
    <x:row r="34">
      <x:c r="A34" s="36" t="str">
        <x:v>VectorDB</x:v>
      </x:c>
      <x:c r="B34" s="36" t="str">
        <x:v>1M HNSW/DISKANN</x:v>
      </x:c>
      <x:c r="C34" s="36" t="str">
        <x:v>1536维；ANN随机访问</x:v>
      </x:c>
      <x:c r="D34" s="36" t="str">
        <x:v>native</x:v>
      </x:c>
      <x:c r="E34" s="36" t="str">
        <x:v>native</x:v>
      </x:c>
      <x:c r="F34" s="36" t="str">
        <x:v>10M DISKANN；Recall锁定后比较</x:v>
      </x:c>
    </x:row>
  </x:sheetData>
  <x:mergeCells>
    <x:mergeCell ref="A1:F1"/>
    <x:mergeCell ref="A2:F2"/>
    <x:mergeCell ref="A20:F20"/>
    <x:mergeCell ref="A27:F27"/>
  </x:mergeCells>
  <x:pageMargins left="0.7" right="0.7" top="0.75" bottom="0.75" header="0.3" footer="0.3"/>
  <x:tableParts count="1">
    <x:tablePart xmlns:r="http://schemas.openxmlformats.org/officeDocument/2006/relationships" r:id="R44ff9e95b3e74c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2" hidden="0" customWidth="1"/>
    <x:col min="5" max="5" width="34" hidden="0" customWidth="1"/>
    <x:col min="6" max="6" width="42" hidden="0" customWidth="1"/>
    <x:col min="7" max="7" width="48" hidden="0" customWidth="1"/>
  </x:cols>
  <x:sheetData>
    <x:row r="1" ht="30" customHeight="1">
      <x:c r="A1" s="43" t="str">
        <x:v>执行方式边界：Native 与 trace/replay</x:v>
      </x:c>
      <x:c r="B1" s="43"/>
      <x:c r="C1" s="43"/>
      <x:c r="D1" s="43"/>
      <x:c r="E1" s="43"/>
      <x:c r="F1" s="43"/>
      <x:c r="G1" s="43"/>
    </x:row>
    <x:row r="2" ht="34" customHeight="1">
      <x:c r="A2" s="44" t="str">
        <x:v>Native 看业务正确性和端到端性能；Trace/Replay 看可复现 SSD I/O；Scaled/Hybrid 必须单独标记。</x:v>
      </x:c>
      <x:c r="B2" s="44"/>
      <x:c r="C2" s="44"/>
      <x:c r="D2" s="44"/>
      <x:c r="E2" s="44"/>
      <x:c r="F2" s="44"/>
      <x:c r="G2" s="44"/>
    </x:row>
    <x:row r="3">
      <x:c r="A3" s="45"/>
      <x:c r="B3" s="45"/>
      <x:c r="C3" s="45"/>
      <x:c r="D3" s="45"/>
      <x:c r="E3" s="45"/>
      <x:c r="F3" s="45"/>
      <x:c r="G3" s="45"/>
    </x:row>
    <x:row r="4">
      <x:c r="A4" s="45"/>
      <x:c r="B4" s="45"/>
      <x:c r="C4" s="45"/>
      <x:c r="D4" s="45"/>
      <x:c r="E4" s="45"/>
      <x:c r="F4" s="45"/>
      <x:c r="G4" s="45"/>
    </x:row>
    <x:row r="5" ht="32" customHeight="1">
      <x:c r="A5" s="48" t="str">
        <x:v>执行方式</x:v>
      </x:c>
      <x:c r="B5" s="48" t="str">
        <x:v>能否在Windows跑</x:v>
      </x:c>
      <x:c r="C5" s="48" t="str">
        <x:v>是否真实应用</x:v>
      </x:c>
      <x:c r="D5" s="48" t="str">
        <x:v>是否真实命中DUT</x:v>
      </x:c>
      <x:c r="E5" s="48" t="str">
        <x:v>适合case</x:v>
      </x:c>
      <x:c r="F5" s="48" t="str">
        <x:v>结果如何使用</x:v>
      </x:c>
      <x:c r="G5" s="48" t="str">
        <x:v>主要限制</x:v>
      </x:c>
    </x:row>
    <x:row r="6" ht="74" customHeight="1">
      <x:c r="A6" s="36" t="str">
        <x:v>Native</x:v>
      </x:c>
      <x:c r="B6" s="36" t="str">
        <x:v>是；优先 local file、Docker、PowerShell</x:v>
      </x:c>
      <x:c r="C6" s="36" t="str">
        <x:v>是</x:v>
      </x:c>
      <x:c r="D6" s="36" t="str">
        <x:v>必须有 PhysicalDisk 证据</x:v>
      </x:c>
      <x:c r="E6" s="36" t="str">
        <x:v>Stage 2 smoke、8B checkpoint、8B KV、1M VDB、Training representative</x:v>
      </x:c>
      <x:c r="F6" s="36" t="str">
        <x:v>可用于业务功能、数据完整性、性能主结论</x:v>
      </x:c>
      <x:c r="G6" s="36" t="str">
        <x:v>受容量、内存、Docker/Milvus 和 Windows 适配限制</x:v>
      </x:c>
    </x:row>
    <x:row r="7" ht="74" customHeight="1">
      <x:c r="A7" s="36" t="str">
        <x:v>Scaled</x:v>
      </x:c>
      <x:c r="B7" s="36" t="str">
        <x:v>是</x:v>
      </x:c>
      <x:c r="C7" s="36" t="str">
        <x:v>是（缩小工作集）</x:v>
      </x:c>
      <x:c r="D7" s="36" t="str">
        <x:v>是</x:v>
      </x:c>
      <x:c r="E7" s="36" t="str">
        <x:v>P1/P2 UNet、Retina、5M VDB、部分70B subset</x:v>
      </x:c>
      <x:c r="F7" s="36" t="str">
        <x:v>只能与相同 scaled 配置比较；不能与full/native合并</x:v>
      </x:c>
      <x:c r="G7" s="36" t="str">
        <x:v>不能外推到full规模，必须写明缩放比例和原因</x:v>
      </x:c>
    </x:row>
    <x:row r="8" ht="74" customHeight="1">
      <x:c r="A8" s="36" t="str">
        <x:v>Trace/Replay</x:v>
      </x:c>
      <x:c r="B8" s="36" t="str">
        <x:v>是；KV/VDB trace + replay.py</x:v>
      </x:c>
      <x:c r="C8" s="36" t="str">
        <x:v>否；只回放访问序列</x:v>
      </x:c>
      <x:c r="D8" s="36" t="str">
        <x:v>是，若DUT_DATA明确且有物理I/O</x:v>
      </x:c>
      <x:c r="E8" s="36" t="str">
        <x:v>VDB I/O校准、70B/405B/1T对象、full checkpoint逻辑压力</x:v>
      </x:c>
      <x:c r="F8" s="36" t="str">
        <x:v>用于确定性吞吐/延迟/放大分析，单独报告为replay</x:v>
      </x:c>
      <x:c r="G8" s="36" t="str">
        <x:v>VDB逻辑trace不含WAL/protobuf/index放大；KV trace不等同应用运行</x:v>
      </x:c>
    </x:row>
    <x:row r="9" ht="74" customHeight="1">
      <x:c r="A9" s="36" t="str">
        <x:v>Hybrid</x:v>
      </x:c>
      <x:c r="B9" s="36" t="str">
        <x:v>是</x:v>
      </x:c>
      <x:c r="C9" s="36" t="str">
        <x:v>取决于实际分支</x:v>
      </x:c>
      <x:c r="D9" s="36" t="str">
        <x:v>必须分别验证</x:v>
      </x:c>
      <x:c r="E9" s="36" t="str">
        <x:v>10M VDB、70B subset、训练大工作集、mixed</x:v>
      </x:c>
      <x:c r="F9" s="36" t="str">
        <x:v>按native/scaled/replay分栏汇总，不做混合总分</x:v>
      </x:c>
      <x:c r="G9" s="36" t="str">
        <x:v>同一Case可能有多个结果，必须保留执行分支</x:v>
      </x:c>
    </x:row>
    <x:row r="10" ht="74" customHeight="1">
      <x:c r="A10" s="36" t="str">
        <x:v>System Gate</x:v>
      </x:c>
      <x:c r="B10" s="36" t="str">
        <x:v>是</x:v>
      </x:c>
      <x:c r="C10" s="36" t="str">
        <x:v>否</x:v>
      </x:c>
      <x:c r="D10" s="36" t="str">
        <x:v>不适用或仅用于门禁</x:v>
      </x:c>
      <x:c r="E10" s="36" t="str">
        <x:v>环境、容量、监控、恢复、完整性</x:v>
      </x:c>
      <x:c r="F10" s="36" t="str">
        <x:v>决定结果是否有效；不计入性能排名</x:v>
      </x:c>
      <x:c r="G10" s="36" t="str">
        <x:v>门禁不通过时后续应为NOT_RUN，而不是PASS/0分</x:v>
      </x:c>
    </x:row>
    <x:row r="11">
      <x:c r="A11" s="45"/>
      <x:c r="B11" s="45"/>
      <x:c r="C11" s="45"/>
      <x:c r="D11" s="45"/>
      <x:c r="E11" s="45"/>
      <x:c r="F11" s="45"/>
      <x:c r="G11" s="45"/>
    </x:row>
    <x:row r="12">
      <x:c r="A12" s="45"/>
      <x:c r="B12" s="45"/>
      <x:c r="C12" s="45"/>
      <x:c r="D12" s="45"/>
      <x:c r="E12" s="45"/>
      <x:c r="F12" s="45"/>
      <x:c r="G12" s="45"/>
    </x:row>
    <x:row r="13" ht="52" customHeight="1">
      <x:c r="A13" s="75" t="str">
        <x:v>使用建议</x:v>
      </x:c>
      <x:c r="B13" s="69" t="str">
        <x:v>先跑 System Gate 和 Stage 1；再跑 Native smoke；Stage 3 按容量决定 Native/Scaled；超出容量的 full checkpoint/大模型 KV 用 Trace/Replay。</x:v>
      </x:c>
      <x:c r="C13" s="69"/>
      <x:c r="D13" s="69"/>
      <x:c r="E13" s="69"/>
      <x:c r="F13" s="69"/>
      <x:c r="G13" s="69"/>
    </x:row>
    <x:row r="14" ht="52" customHeight="1">
      <x:c r="A14" s="75" t="str">
        <x:v>结果口径</x:v>
      </x:c>
      <x:c r="B14" s="69" t="str">
        <x:v>Native、Scaled、Trace/Replay、Hybrid 分栏；replay 只能说明访问序列下的 SSD 能力，不能声称真实模型或 Milvus 端到端成绩。</x:v>
      </x:c>
      <x:c r="C14" s="69"/>
      <x:c r="D14" s="69"/>
      <x:c r="E14" s="69"/>
      <x:c r="F14" s="69"/>
      <x:c r="G14" s="69"/>
    </x:row>
    <x:row r="15" ht="52" customHeight="1">
      <x:c r="A15" s="75" t="str">
        <x:v>VDB特别说明</x:v>
      </x:c>
      <x:c r="B15" s="69" t="str">
        <x:v>vdbbench trace 是客户端逻辑操作/估算字节量，不含 Milvus WAL、protobuf、索引放大和 compaction 物理 I/O；必须同时报告 logical/device bytes 和放大倍数。</x:v>
      </x:c>
      <x:c r="C15" s="69"/>
      <x:c r="D15" s="69"/>
      <x:c r="E15" s="69"/>
      <x:c r="F15" s="69"/>
      <x:c r="G15" s="69"/>
    </x:row>
  </x:sheetData>
  <x:mergeCells>
    <x:mergeCell ref="A1:G1"/>
    <x:mergeCell ref="A2:G2"/>
    <x:mergeCell ref="B13:G13"/>
    <x:mergeCell ref="B14:G14"/>
    <x:mergeCell ref="B15:G15"/>
  </x:mergeCells>
  <x:pageMargins left="0.7" right="0.7" top="0.75" bottom="0.75" header="0.3" footer="0.3"/>
  <x:tableParts count="1">
    <x:tablePart xmlns:r="http://schemas.openxmlformats.org/officeDocument/2006/relationships" r:id="Rc5964001488547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6" hidden="0" customWidth="1"/>
    <x:col min="3" max="3" width="28" hidden="0" customWidth="1"/>
    <x:col min="4" max="4" width="38" hidden="0" customWidth="1"/>
    <x:col min="5" max="5" width="42" hidden="0" customWidth="1"/>
  </x:cols>
  <x:sheetData>
    <x:row r="1" ht="30" customHeight="1">
      <x:c r="A1" s="43" t="str">
        <x:v>监控项、指标与发布判定</x:v>
      </x:c>
      <x:c r="B1" s="43"/>
      <x:c r="C1" s="43"/>
      <x:c r="D1" s="43"/>
      <x:c r="E1" s="43"/>
    </x:row>
    <x:row r="2" ht="34" customHeight="1">
      <x:c r="A2" s="44" t="str">
        <x:v>每个性能 case 保存 workload、Windows 1秒监控、trace（如适用）、integrity 和 verdict；缺关键证据不得 PASS。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>
      <x:c r="A4" s="45"/>
      <x:c r="B4" s="45"/>
      <x:c r="C4" s="45"/>
      <x:c r="D4" s="45"/>
      <x:c r="E4" s="45"/>
    </x:row>
    <x:row r="5" ht="32" customHeight="1">
      <x:c r="A5" s="48" t="str">
        <x:v>监控域</x:v>
      </x:c>
      <x:c r="B5" s="48" t="str">
        <x:v>Windows采集方式</x:v>
      </x:c>
      <x:c r="C5" s="48" t="str">
        <x:v>采样/触发</x:v>
      </x:c>
      <x:c r="D5" s="48" t="str">
        <x:v>核心字段</x:v>
      </x:c>
      <x:c r="E5" s="48" t="str">
        <x:v>用于解释的风险</x:v>
      </x:c>
    </x:row>
    <x:row r="6" ht="74" customHeight="1">
      <x:c r="A6" s="36" t="str">
        <x:v>SSD/卷</x:v>
      </x:c>
      <x:c r="B6" s="36" t="str">
        <x:v>Get-Counter / typeperf / disk_stats.py</x:v>
      </x:c>
      <x:c r="C6" s="36" t="str">
        <x:v>1秒；每个run前后</x:v>
      </x:c>
      <x:c r="D6" s="36" t="str">
        <x:v>read/write bytes、IOPS、avg latency、queue、busy、free space</x:v>
      </x:c>
      <x:c r="E6" s="36" t="str">
        <x:v>页缓存、GC、队列堆积、容量不足</x:v>
      </x:c>
    </x:row>
    <x:row r="7" ht="74" customHeight="1">
      <x:c r="A7" s="36" t="str">
        <x:v>温度/健康</x:v>
      </x:c>
      <x:c r="B7" s="36" t="str">
        <x:v>SMART/NVMe工具 + 厂商工具</x:v>
      </x:c>
      <x:c r="C7" s="36" t="str">
        <x:v>run前/每秒或5秒</x:v>
      </x:c>
      <x:c r="D7" s="36" t="str">
        <x:v>温度、health、寿命、thermal throttle、错误计数</x:v>
      </x:c>
      <x:c r="E7" s="36" t="str">
        <x:v>热降速、寿命异常、设备错误</x:v>
      </x:c>
    </x:row>
    <x:row r="8" ht="74" customHeight="1">
      <x:c r="A8" s="36" t="str">
        <x:v>CPU/RAM</x:v>
      </x:c>
      <x:c r="B8" s="36" t="str">
        <x:v>Get-Counter + Get-Process</x:v>
      </x:c>
      <x:c r="C8" s="36" t="str">
        <x:v>1秒</x:v>
      </x:c>
      <x:c r="D8" s="36" t="str">
        <x:v>CPU、RAM、commit、paging、进程CPU/RAM</x:v>
      </x:c>
      <x:c r="E8" s="36" t="str">
        <x:v>主机/分页瓶颈冒充SSD瓶颈</x:v>
      </x:c>
    </x:row>
    <x:row r="9" ht="74" customHeight="1">
      <x:c r="A9" s="36" t="str">
        <x:v>GPU</x:v>
      </x:c>
      <x:c r="B9" s="36" t="str">
        <x:v>nvidia-smi 或厂商工具</x:v>
      </x:c>
      <x:c r="C9" s="36" t="str">
        <x:v>1秒</x:v>
      </x:c>
      <x:c r="D9" s="36" t="str">
        <x:v>utilization、VRAM、功耗、温度</x:v>
      </x:c>
      <x:c r="E9" s="36" t="str">
        <x:v>计算间隔过长、GPU未饱和</x:v>
      </x:c>
    </x:row>
    <x:row r="10" ht="74" customHeight="1">
      <x:c r="A10" s="36" t="str">
        <x:v>Docker/Milvus</x:v>
      </x:c>
      <x:c r="B10" s="36" t="str">
        <x:v>docker stats、healthcheck、Milvus日志</x:v>
      </x:c>
      <x:c r="C10" s="36" t="str">
        <x:v>1秒/事件</x:v>
      </x:c>
      <x:c r="D10" s="36" t="str">
        <x:v>container RAM/CPU、health、row count、compact、restart</x:v>
      </x:c>
      <x:c r="E10" s="36" t="str">
        <x:v>VHDX、内存不足、服务抖动</x:v>
      </x:c>
    </x:row>
    <x:row r="11" ht="74" customHeight="1">
      <x:c r="A11" s="36" t="str">
        <x:v>Workload</x:v>
      </x:c>
      <x:c r="B11" s="36" t="str">
        <x:v>mlpstorage结果、KV trace、VDB summary</x:v>
      </x:c>
      <x:c r="C11" s="36" t="str">
        <x:v>按操作/请求</x:v>
      </x:c>
      <x:c r="D11" s="36" t="str">
        <x:v>AU、samples/s、tokens/s、QPS、Recall、P50/P95/P99/P99.9</x:v>
      </x:c>
      <x:c r="E11" s="36" t="str">
        <x:v>应用端瓶颈、缓存命中、尾延迟</x:v>
      </x:c>
    </x:row>
    <x:row r="12" ht="74" customHeight="1">
      <x:c r="A12" s="36" t="str">
        <x:v>事件/完整性</x:v>
      </x:c>
      <x:c r="B12" s="36" t="str">
        <x:v>Get-WinEvent、hash、validate</x:v>
      </x:c>
      <x:c r="C12" s="36" t="str">
        <x:v>run前后/异常时</x:v>
      </x:c>
      <x:c r="D12" s="36" t="str">
        <x:v>WHEA、StorPort、hash、file size、row count、orphan files</x:v>
      </x:c>
      <x:c r="E12" s="36" t="str">
        <x:v>静默损坏、设备重置、恢复退化</x:v>
      </x:c>
    </x:row>
    <x:row r="13">
      <x:c r="A13" s="45"/>
      <x:c r="B13" s="45"/>
      <x:c r="C13" s="45"/>
      <x:c r="D13" s="45"/>
      <x:c r="E13" s="45"/>
    </x:row>
    <x:row r="14">
      <x:c r="A14" s="45"/>
      <x:c r="B14" s="45"/>
      <x:c r="C14" s="45"/>
      <x:c r="D14" s="45"/>
      <x:c r="E14" s="45"/>
    </x:row>
    <x:row r="15">
      <x:c r="A15" s="45"/>
      <x:c r="B15" s="45"/>
      <x:c r="C15" s="45"/>
      <x:c r="D15" s="45"/>
      <x:c r="E15" s="45"/>
    </x:row>
    <x:row r="16">
      <x:c r="A16" s="49" t="str">
        <x:v>统一判定规则</x:v>
      </x:c>
      <x:c r="B16" s="49"/>
      <x:c r="C16" s="49"/>
      <x:c r="D16" s="49"/>
      <x:c r="E16" s="49"/>
    </x:row>
    <x:row r="17" ht="32" customHeight="1">
      <x:c r="A17" s="48" t="str">
        <x:v>状态/规则</x:v>
      </x:c>
      <x:c r="B17" s="48" t="str">
        <x:v>判定</x:v>
      </x:c>
      <x:c r="C17" s="48" t="str">
        <x:v>适用范围</x:v>
      </x:c>
      <x:c r="D17" s="48" t="str">
        <x:v>处置</x:v>
      </x:c>
      <x:c r="E17" s="45"/>
    </x:row>
    <x:row r="18" ht="74" customHeight="1">
      <x:c r="A18" s="36" t="str">
        <x:v>PASS</x:v>
      </x:c>
      <x:c r="B18" s="36" t="str">
        <x:v>路径、监控、完整性、性能门槛均满足；真实命中DUT</x:v>
      </x:c>
      <x:c r="C18" s="36" t="str">
        <x:v>Native/System Gate通过后的性能case</x:v>
      </x:c>
      <x:c r="D18" s="36" t="str">
        <x:v>进入报告主结果</x:v>
      </x:c>
      <x:c r="E18" s="45"/>
    </x:row>
    <x:row r="19" ht="74" customHeight="1">
      <x:c r="A19" s="36" t="str">
        <x:v>CONDITIONAL</x:v>
      </x:c>
      <x:c r="B19" s="36" t="str">
        <x:v>功能通过，但为scaled、trace/replay、单机smoke或未满足正式进程规则</x:v>
      </x:c>
      <x:c r="C19" s="36" t="str">
        <x:v>Windows适配、subset、replay、单机checkpoint</x:v>
      </x:c>
      <x:c r="D19" s="36" t="str">
        <x:v>单独统计，不与PASS合并排名</x:v>
      </x:c>
      <x:c r="E19" s="45"/>
    </x:row>
    <x:row r="20" ht="74" customHeight="1">
      <x:c r="A20" s="36" t="str">
        <x:v>INVALID</x:v>
      </x:c>
      <x:c r="B20" s="36" t="str">
        <x:v>未命中DUT、缺关键日志/监控、trace不完整、容量门禁绕过或数据损坏</x:v>
      </x:c>
      <x:c r="C20" s="36" t="str">
        <x:v>所有case</x:v>
      </x:c>
      <x:c r="D20" s="36" t="str">
        <x:v>不计入结果；修复门禁后重跑</x:v>
      </x:c>
      <x:c r="E20" s="45"/>
    </x:row>
    <x:row r="21" ht="74" customHeight="1">
      <x:c r="A21" s="36" t="str">
        <x:v>NOT_RUN</x:v>
      </x:c>
      <x:c r="B21" s="36" t="str">
        <x:v>硬件容量、软件、服务或Windows能力不满足，未执行</x:v>
      </x:c>
      <x:c r="C21" s="36" t="str">
        <x:v>所有case</x:v>
      </x:c>
      <x:c r="D21" s="36" t="str">
        <x:v>不以0分替代；记录原因</x:v>
      </x:c>
      <x:c r="E21" s="45"/>
    </x:row>
    <x:row r="22" ht="74" customHeight="1">
      <x:c r="A22" s="36" t="str">
        <x:v>混合QoS</x:v>
      </x:c>
      <x:c r="B22" s="36" t="str">
        <x:v>前台P99 ≤ solo 1.5×；后台吞吐 ≥ solo 80%；Recall下降≤1个百分点</x:v>
      </x:c>
      <x:c r="C22" s="36" t="str">
        <x:v>Stage 4</x:v>
      </x:c>
      <x:c r="D22" s="36" t="str">
        <x:v>不满足则标记退化类型并保留监控证据</x:v>
      </x:c>
      <x:c r="E22" s="45"/>
    </x:row>
    <x:row r="23" ht="74" customHeight="1">
      <x:c r="A23" s="36" t="str">
        <x:v>热/GC cliff</x:v>
      </x:c>
      <x:c r="B23" s="36" t="str">
        <x:v>连续3个窗口吞吐下降&gt;10%，或温度/queue与下降一致</x:v>
      </x:c>
      <x:c r="C23" s="36" t="str">
        <x:v>Stage 1/5</x:v>
      </x:c>
      <x:c r="D23" s="36" t="str">
        <x:v>报告下降幅度、峰值温度和恢复时间</x:v>
      </x:c>
      <x:c r="E23" s="45"/>
    </x:row>
    <x:row r="24" ht="74" customHeight="1">
      <x:c r="A24" s="36" t="str">
        <x:v>完整性硬门槛</x:v>
      </x:c>
      <x:c r="B24" s="36" t="str">
        <x:v>hash、样本数、row count、Tier-2清理和重启后smoke均正确</x:v>
      </x:c>
      <x:c r="C24" s="36" t="str">
        <x:v>Stage 2/6及checkpoint/KV/VDB</x:v>
      </x:c>
      <x:c r="D24" s="36" t="str">
        <x:v>任何失败均不得PASS</x:v>
      </x:c>
      <x:c r="E24" s="45"/>
    </x:row>
    <x:row r="25">
      <x:c r="A25" s="45"/>
      <x:c r="B25" s="45"/>
      <x:c r="C25" s="45"/>
      <x:c r="D25" s="45"/>
      <x:c r="E25" s="45"/>
    </x:row>
  </x:sheetData>
  <x:mergeCells>
    <x:mergeCell ref="A1:E1"/>
    <x:mergeCell ref="A2:E2"/>
    <x:mergeCell ref="A16:E16"/>
  </x:mergeCells>
  <x:pageMargins left="0.7" right="0.7" top="0.75" bottom="0.75" header="0.3" footer="0.3"/>
  <x:tableParts count="2">
    <x:tablePart xmlns:r="http://schemas.openxmlformats.org/officeDocument/2006/relationships" r:id="R46c3eab136a04414"/>
    <x:tablePart xmlns:r="http://schemas.openxmlformats.org/officeDocument/2006/relationships" r:id="R5b1a1e807c924294"/>
  </x:tableParts>
</x:worksheet>
</file>